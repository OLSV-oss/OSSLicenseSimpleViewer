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work\20200707\"/>
    </mc:Choice>
  </mc:AlternateContent>
  <xr:revisionPtr revIDLastSave="0" documentId="13_ncr:1_{187CAF0E-9BD1-4696-A7F3-44148620CE92}" xr6:coauthVersionLast="45" xr6:coauthVersionMax="45" xr10:uidLastSave="{00000000-0000-0000-0000-000000000000}"/>
  <bookViews>
    <workbookView xWindow="9105" yWindow="2025" windowWidth="18465" windowHeight="12765" tabRatio="681" activeTab="6" xr2:uid="{117B3BB2-3C41-4FD5-9B86-CE93A0A35AE1}"/>
  </bookViews>
  <sheets>
    <sheet name="manual(EN)" sheetId="7" r:id="rId1"/>
    <sheet name="viewer(EN)" sheetId="4" r:id="rId2"/>
    <sheet name="manual(JP)" sheetId="6" r:id="rId3"/>
    <sheet name="viewer(JP)" sheetId="1" r:id="rId4"/>
    <sheet name="messages" sheetId="2" state="hidden" r:id="rId5"/>
    <sheet name="setting" sheetId="3" r:id="rId6"/>
    <sheet name="LICENSE" sheetId="8"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 i="4" l="1"/>
  <c r="C17" i="4"/>
  <c r="C15" i="4"/>
  <c r="C11" i="4"/>
  <c r="C12" i="4"/>
  <c r="C16" i="1" l="1"/>
  <c r="C17" i="1"/>
  <c r="C15" i="1"/>
  <c r="C12" i="1"/>
  <c r="C11" i="1"/>
</calcChain>
</file>

<file path=xl/sharedStrings.xml><?xml version="1.0" encoding="utf-8"?>
<sst xmlns="http://schemas.openxmlformats.org/spreadsheetml/2006/main" count="391" uniqueCount="335">
  <si>
    <t>ライセンス名</t>
    <phoneticPr fontId="4"/>
  </si>
  <si>
    <t>ユースケース</t>
    <phoneticPr fontId="4"/>
  </si>
  <si>
    <t>コメント</t>
    <phoneticPr fontId="4"/>
  </si>
  <si>
    <t>セル色の凡例</t>
    <rPh sb="2" eb="3">
      <t>イロ</t>
    </rPh>
    <rPh sb="4" eb="6">
      <t>ハンレイ</t>
    </rPh>
    <phoneticPr fontId="4"/>
  </si>
  <si>
    <t>責務</t>
    <phoneticPr fontId="4"/>
  </si>
  <si>
    <t>Message ID</t>
    <phoneticPr fontId="2"/>
  </si>
  <si>
    <t>Defaults</t>
    <phoneticPr fontId="2"/>
  </si>
  <si>
    <t>ja</t>
    <phoneticPr fontId="2"/>
  </si>
  <si>
    <t>License Name</t>
    <phoneticPr fontId="2"/>
  </si>
  <si>
    <t>ライセンス名</t>
  </si>
  <si>
    <t>Select License</t>
    <phoneticPr fontId="2"/>
  </si>
  <si>
    <t>ライセンス選択</t>
  </si>
  <si>
    <t>Select Folder</t>
  </si>
  <si>
    <t>フォルダを選んでください</t>
  </si>
  <si>
    <t>Error has occurred.</t>
    <phoneticPr fontId="2"/>
  </si>
  <si>
    <t>エラーが発生しました。</t>
    <phoneticPr fontId="2"/>
  </si>
  <si>
    <t>Canceled.</t>
    <phoneticPr fontId="2"/>
  </si>
  <si>
    <t>キャンセルされました。</t>
    <phoneticPr fontId="2"/>
  </si>
  <si>
    <t>Property Name</t>
    <phoneticPr fontId="4"/>
  </si>
  <si>
    <t>Description</t>
    <phoneticPr fontId="4"/>
  </si>
  <si>
    <t>Value (EN)</t>
    <phoneticPr fontId="4"/>
  </si>
  <si>
    <t>Value (JP)</t>
    <phoneticPr fontId="4"/>
  </si>
  <si>
    <t>Unconfirmed_License</t>
    <phoneticPr fontId="4"/>
  </si>
  <si>
    <t>Alert_HIGH</t>
    <phoneticPr fontId="4"/>
  </si>
  <si>
    <t>Alert_MIDDLE</t>
    <phoneticPr fontId="4"/>
  </si>
  <si>
    <t>Alert_LOW</t>
    <phoneticPr fontId="4"/>
  </si>
  <si>
    <t>ID_G50001</t>
    <phoneticPr fontId="2"/>
  </si>
  <si>
    <t>ID_G50002</t>
  </si>
  <si>
    <t>ID_G50003</t>
  </si>
  <si>
    <t>ID_E30000</t>
  </si>
  <si>
    <t>ID_E30001</t>
  </si>
  <si>
    <t>ID_E30002</t>
  </si>
  <si>
    <t>ID_E30003</t>
  </si>
  <si>
    <t>ID_M10001</t>
  </si>
  <si>
    <t>ID_M10002</t>
  </si>
  <si>
    <t>ID_E30004</t>
  </si>
  <si>
    <t>ライセンス情報が重複しています。 : {0}</t>
    <rPh sb="5" eb="7">
      <t>ジョウホウ</t>
    </rPh>
    <rPh sb="8" eb="10">
      <t>ジュウフク</t>
    </rPh>
    <phoneticPr fontId="2"/>
  </si>
  <si>
    <t>License information is duplicated. : {0}</t>
    <phoneticPr fontId="2"/>
  </si>
  <si>
    <t>ID_E30005</t>
  </si>
  <si>
    <t>ユースケース情報が重複しています。 : {0}</t>
    <rPh sb="6" eb="8">
      <t>ジョウホウ</t>
    </rPh>
    <rPh sb="9" eb="11">
      <t>ジュウフク</t>
    </rPh>
    <phoneticPr fontId="2"/>
  </si>
  <si>
    <t>Use case information is duplicated. : {0}</t>
    <phoneticPr fontId="2"/>
  </si>
  <si>
    <t>ID_G50004</t>
    <phoneticPr fontId="2"/>
  </si>
  <si>
    <t>免責事項</t>
  </si>
  <si>
    <t>免責事項</t>
    <phoneticPr fontId="2"/>
  </si>
  <si>
    <t>Disclaimer</t>
    <phoneticPr fontId="2"/>
  </si>
  <si>
    <t>Stored_Folder</t>
    <phoneticPr fontId="2"/>
  </si>
  <si>
    <t>ユースケース選択</t>
    <rPh sb="6" eb="8">
      <t>センタク</t>
    </rPh>
    <phoneticPr fontId="2"/>
  </si>
  <si>
    <t>ユースケース</t>
    <phoneticPr fontId="2"/>
  </si>
  <si>
    <t>Select Use Case</t>
    <phoneticPr fontId="2"/>
  </si>
  <si>
    <t>Use Case</t>
    <phoneticPr fontId="2"/>
  </si>
  <si>
    <t>ID_G50005</t>
  </si>
  <si>
    <t>ID_G50006</t>
  </si>
  <si>
    <t>ID_E30006</t>
  </si>
  <si>
    <t>License Name</t>
    <phoneticPr fontId="4"/>
  </si>
  <si>
    <t>Use Case</t>
    <phoneticPr fontId="4"/>
  </si>
  <si>
    <t>Comment</t>
    <phoneticPr fontId="4"/>
  </si>
  <si>
    <t>Legend</t>
    <phoneticPr fontId="4"/>
  </si>
  <si>
    <t>Conditions</t>
    <phoneticPr fontId="4"/>
  </si>
  <si>
    <t>ID_E30007</t>
  </si>
  <si>
    <t>ID_E30008</t>
  </si>
  <si>
    <t>permissionsを取得できません。</t>
    <rPh sb="12" eb="14">
      <t>シュトク</t>
    </rPh>
    <phoneticPr fontId="2"/>
  </si>
  <si>
    <t>actionsを取得できません。</t>
    <rPh sb="8" eb="10">
      <t>シュトク</t>
    </rPh>
    <phoneticPr fontId="2"/>
  </si>
  <si>
    <t>ID_E30009</t>
    <phoneticPr fontId="2"/>
  </si>
  <si>
    <t>内部エラーが発生しました。(code:{0} message:{1})</t>
    <rPh sb="0" eb="2">
      <t>ナイブ</t>
    </rPh>
    <phoneticPr fontId="2"/>
  </si>
  <si>
    <t>Internal error has occurred.(code:{0} message:{1})</t>
    <phoneticPr fontId="2"/>
  </si>
  <si>
    <t>{0} が不正のため処理を中断します。</t>
    <phoneticPr fontId="2"/>
  </si>
  <si>
    <t>Open License data is invalid. : {0}</t>
    <phoneticPr fontId="2"/>
  </si>
  <si>
    <t>Open License情報が不正です。 : {0}</t>
    <phoneticPr fontId="2"/>
  </si>
  <si>
    <t>ID_E30010</t>
  </si>
  <si>
    <t>ID_E30011</t>
  </si>
  <si>
    <t>{0} シートの {1} が重複しています。</t>
    <rPh sb="14" eb="16">
      <t>ジュウフク</t>
    </rPh>
    <phoneticPr fontId="2"/>
  </si>
  <si>
    <t>Disclaimers</t>
    <phoneticPr fontId="2"/>
  </si>
  <si>
    <t>The processing has canceled due to the duplication of excel sheet name [{0}].</t>
    <phoneticPr fontId="2"/>
  </si>
  <si>
    <t>{0} のExcelシート名が重複するため処理を中断します。</t>
    <rPh sb="24" eb="26">
      <t>チュウダン</t>
    </rPh>
    <phoneticPr fontId="2"/>
  </si>
  <si>
    <t>The processing has canceled due to the lack of [{0}].</t>
    <phoneticPr fontId="2"/>
  </si>
  <si>
    <t>{0} が不足しているため処理を中断します。</t>
    <rPh sb="16" eb="18">
      <t>チュウダン</t>
    </rPh>
    <phoneticPr fontId="2"/>
  </si>
  <si>
    <t>Cannot get permissions.</t>
    <phoneticPr fontId="2"/>
  </si>
  <si>
    <t>Cannot get actions.</t>
    <phoneticPr fontId="2"/>
  </si>
  <si>
    <t>The value of [{1}] column on [{0}] sheet is empty.</t>
    <phoneticPr fontId="2"/>
  </si>
  <si>
    <t>{0} シートの {1} 列の値が空セルです。</t>
    <rPh sb="13" eb="14">
      <t>レツ</t>
    </rPh>
    <rPh sb="15" eb="16">
      <t>アタイ</t>
    </rPh>
    <rPh sb="17" eb="18">
      <t>カラ</t>
    </rPh>
    <phoneticPr fontId="2"/>
  </si>
  <si>
    <t>The value [{1}] on [{0}] sheets are duplicated.</t>
    <phoneticPr fontId="2"/>
  </si>
  <si>
    <t>The data import has completed.</t>
    <phoneticPr fontId="2"/>
  </si>
  <si>
    <t>データインポートが完了しました。</t>
    <phoneticPr fontId="2"/>
  </si>
  <si>
    <t>The processing has canceled due to invalid data [{0}].</t>
    <phoneticPr fontId="2"/>
  </si>
  <si>
    <t>以下にしたがい、本ツールの操作方法を説明する。</t>
    <rPh sb="0" eb="2">
      <t>イカ</t>
    </rPh>
    <rPh sb="8" eb="9">
      <t>ホン</t>
    </rPh>
    <rPh sb="13" eb="15">
      <t>ソウサ</t>
    </rPh>
    <rPh sb="15" eb="17">
      <t>ホウホウ</t>
    </rPh>
    <rPh sb="18" eb="20">
      <t>セツメイ</t>
    </rPh>
    <phoneticPr fontId="2"/>
  </si>
  <si>
    <r>
      <t>・事前準備　</t>
    </r>
    <r>
      <rPr>
        <sz val="11"/>
        <color rgb="FFFF0000"/>
        <rFont val="メイリオ"/>
        <family val="3"/>
        <charset val="128"/>
      </rPr>
      <t>[注意]ツール管理者のみ実施すればよい。</t>
    </r>
    <rPh sb="1" eb="3">
      <t>ジゼン</t>
    </rPh>
    <rPh sb="3" eb="5">
      <t>ジュンビ</t>
    </rPh>
    <rPh sb="7" eb="9">
      <t>チュウイ</t>
    </rPh>
    <rPh sb="13" eb="16">
      <t>カンリシャ</t>
    </rPh>
    <rPh sb="18" eb="20">
      <t>ジッシ</t>
    </rPh>
    <phoneticPr fontId="2"/>
  </si>
  <si>
    <t>・ライセンス情報を閲覧</t>
    <rPh sb="6" eb="8">
      <t>ジョウホウ</t>
    </rPh>
    <rPh sb="9" eb="11">
      <t>エツラン</t>
    </rPh>
    <phoneticPr fontId="2"/>
  </si>
  <si>
    <t>1. 事前準備</t>
    <rPh sb="3" eb="5">
      <t>ジゼン</t>
    </rPh>
    <rPh sb="5" eb="7">
      <t>ジュンビ</t>
    </rPh>
    <phoneticPr fontId="2"/>
  </si>
  <si>
    <t>[注意] 本作業は、ツール管理者のみ実施すればよく、ツール利用者は手順2.から実施する。</t>
    <rPh sb="1" eb="3">
      <t>チュウイ</t>
    </rPh>
    <rPh sb="5" eb="6">
      <t>ホン</t>
    </rPh>
    <rPh sb="6" eb="8">
      <t>サギョウ</t>
    </rPh>
    <rPh sb="13" eb="16">
      <t>カンリシャ</t>
    </rPh>
    <rPh sb="18" eb="20">
      <t>ジッシ</t>
    </rPh>
    <rPh sb="29" eb="32">
      <t>リヨウシャ</t>
    </rPh>
    <rPh sb="33" eb="35">
      <t>テジュン</t>
    </rPh>
    <rPh sb="39" eb="41">
      <t>ジッシ</t>
    </rPh>
    <phoneticPr fontId="2"/>
  </si>
  <si>
    <t>#</t>
  </si>
  <si>
    <t>必須 /
任意</t>
    <phoneticPr fontId="2"/>
  </si>
  <si>
    <t>任意の場合の補足説明</t>
    <phoneticPr fontId="2"/>
  </si>
  <si>
    <t>参照先</t>
    <phoneticPr fontId="2"/>
  </si>
  <si>
    <t>論理分解データを入手</t>
    <phoneticPr fontId="2"/>
  </si>
  <si>
    <t>論理分解データをダウンロード</t>
    <phoneticPr fontId="2"/>
  </si>
  <si>
    <t>任意</t>
  </si>
  <si>
    <t>独自に作成した論理分解データを使用する場合は、本手順は不要である。</t>
    <phoneticPr fontId="2"/>
  </si>
  <si>
    <t>1.1.1</t>
    <phoneticPr fontId="2"/>
  </si>
  <si>
    <t>論理分解データをフォルダに格納</t>
    <phoneticPr fontId="2"/>
  </si>
  <si>
    <t>必須</t>
  </si>
  <si>
    <t>－</t>
  </si>
  <si>
    <t>1.1.2</t>
    <phoneticPr fontId="2"/>
  </si>
  <si>
    <t>論理分解データのインポート</t>
    <phoneticPr fontId="2"/>
  </si>
  <si>
    <t>1.2.1</t>
    <phoneticPr fontId="2"/>
  </si>
  <si>
    <t>SPDX識別子とライセンスポリシーのライセンス名を登録</t>
  </si>
  <si>
    <t>SPDX識別子を登録</t>
    <phoneticPr fontId="2"/>
  </si>
  <si>
    <t>SPDX識別子を使用しない場合は、本手順は不要である。</t>
    <phoneticPr fontId="2"/>
  </si>
  <si>
    <t>1.3.1</t>
    <phoneticPr fontId="2"/>
  </si>
  <si>
    <t>ライセンスポリシーのライセンス名を登録</t>
  </si>
  <si>
    <t>ライセンスポリシーを使用しない場合は、本手順は不要である。</t>
    <phoneticPr fontId="2"/>
  </si>
  <si>
    <t>1.3.2</t>
    <phoneticPr fontId="2"/>
  </si>
  <si>
    <t>注意喚起情報を登録</t>
    <phoneticPr fontId="2"/>
  </si>
  <si>
    <t>ライセンスのコメントを登録</t>
  </si>
  <si>
    <t>ライセンスごとのコメント表示を行わない場合は、本手順は不要である。</t>
    <phoneticPr fontId="2"/>
  </si>
  <si>
    <t>1.4.1</t>
    <phoneticPr fontId="2"/>
  </si>
  <si>
    <t>責務に注意喚起の値を登録</t>
  </si>
  <si>
    <t>責務に対する注意喚起をおこなわない場合は、本手順は不要である。</t>
    <phoneticPr fontId="2"/>
  </si>
  <si>
    <t>1.4.2</t>
    <phoneticPr fontId="2"/>
  </si>
  <si>
    <t>免責事項に注意喚起の値を登録</t>
    <phoneticPr fontId="2"/>
  </si>
  <si>
    <t>免責事項に対する注意喚起をおこなわない場合は、本手順は不要である。</t>
    <phoneticPr fontId="2"/>
  </si>
  <si>
    <t>1.4.3</t>
    <phoneticPr fontId="2"/>
  </si>
  <si>
    <t>プロパティを設定</t>
    <phoneticPr fontId="2"/>
  </si>
  <si>
    <t>注意喚起のコメントを表示しない場合は、本手順は不要である。</t>
    <phoneticPr fontId="2"/>
  </si>
  <si>
    <t>1.1. 論理分解データを入手</t>
    <phoneticPr fontId="2"/>
  </si>
  <si>
    <t>1.1.1. 論理分解データをダウンロード</t>
    <phoneticPr fontId="2"/>
  </si>
  <si>
    <t>論理分解データを以下のサイトからダウンロードする。</t>
    <phoneticPr fontId="2"/>
  </si>
  <si>
    <t>＜株式会社日立製作所がGitHubに公開している論理分解データのURL＞</t>
    <phoneticPr fontId="2"/>
  </si>
  <si>
    <t>　https://codeload.github.com/Hitachi/open-license/zip/master</t>
    <phoneticPr fontId="2"/>
  </si>
  <si>
    <t>論理分解データは、以下の4種類のJSON形式のファイルで構成されており、全てダウンロードする。</t>
    <rPh sb="9" eb="11">
      <t>イカ</t>
    </rPh>
    <phoneticPr fontId="2"/>
  </si>
  <si>
    <t>ファイル名</t>
  </si>
  <si>
    <t>licenses.json</t>
  </si>
  <si>
    <t>actions.json</t>
  </si>
  <si>
    <t>conditions.json</t>
  </si>
  <si>
    <t>notices.json</t>
  </si>
  <si>
    <t>1.1.2. 論理分解データをフォルダに格納</t>
    <phoneticPr fontId="2"/>
  </si>
  <si>
    <t>ダウンロードした論理分解データまたは独自に作成した論理分解データ（4ファイル）を任意の同一フォルダに格納する。</t>
    <phoneticPr fontId="2"/>
  </si>
  <si>
    <t>1.2.1. 論理分解データのインポート</t>
    <phoneticPr fontId="2"/>
  </si>
  <si>
    <t>settingシート上にある「フォルダを選択」ボタンを押下する。</t>
    <phoneticPr fontId="2"/>
  </si>
  <si>
    <t>フォルダ選択のダイアログで論理分解データを格納したフォルダを選択し、「OK」ボタンを押下すると、論理分解データのインポートがおこなわれる。</t>
    <phoneticPr fontId="2"/>
  </si>
  <si>
    <t>[注意] インポートによって自動的に入力された各シートの値を削除/修正すると正常に動作しなくなるため、誤って削除/修正しないこと。</t>
    <rPh sb="1" eb="3">
      <t>チュウイ</t>
    </rPh>
    <rPh sb="14" eb="17">
      <t>ジドウテキ</t>
    </rPh>
    <rPh sb="18" eb="20">
      <t>ニュウリョク</t>
    </rPh>
    <rPh sb="23" eb="24">
      <t>カク</t>
    </rPh>
    <rPh sb="28" eb="29">
      <t>アタイ</t>
    </rPh>
    <rPh sb="30" eb="32">
      <t>サクジョ</t>
    </rPh>
    <rPh sb="33" eb="35">
      <t>シュウセイ</t>
    </rPh>
    <rPh sb="38" eb="40">
      <t>セイジョウ</t>
    </rPh>
    <rPh sb="41" eb="43">
      <t>ドウサ</t>
    </rPh>
    <rPh sb="51" eb="52">
      <t>アヤマ</t>
    </rPh>
    <rPh sb="54" eb="56">
      <t>サクジョ</t>
    </rPh>
    <rPh sb="57" eb="59">
      <t>シュウセイ</t>
    </rPh>
    <phoneticPr fontId="2"/>
  </si>
  <si>
    <t>1.3. SPDX識別子とライセンスポリシーのライセンス名を登録</t>
    <phoneticPr fontId="2"/>
  </si>
  <si>
    <t>1.3.1. SPDX識別子を登録</t>
    <phoneticPr fontId="2"/>
  </si>
  <si>
    <t>licensesシートのB列(論理分解データのライセンス名)に対応するSPDX識別子をlicensesシートのC列に入力する。</t>
    <phoneticPr fontId="2"/>
  </si>
  <si>
    <t>[注意] SPDX識別子が重複すると手順2.1でライセンス選択時にエラーとなるため、重複しないよう確認すること。</t>
    <rPh sb="1" eb="3">
      <t>チュウイ</t>
    </rPh>
    <rPh sb="9" eb="12">
      <t>シキベツシ</t>
    </rPh>
    <rPh sb="13" eb="15">
      <t>チョウフク</t>
    </rPh>
    <rPh sb="18" eb="20">
      <t>テジュン</t>
    </rPh>
    <rPh sb="29" eb="31">
      <t>センタク</t>
    </rPh>
    <rPh sb="31" eb="32">
      <t>ジ</t>
    </rPh>
    <rPh sb="42" eb="44">
      <t>チョウフク</t>
    </rPh>
    <rPh sb="49" eb="51">
      <t>カクニン</t>
    </rPh>
    <phoneticPr fontId="2"/>
  </si>
  <si>
    <t>1.3.2. ライセンスポリシーのライセンス名を登録</t>
    <phoneticPr fontId="2"/>
  </si>
  <si>
    <t>licensesシートのB列(論理分解データのライセンス名)に対応するライセンスポリシーのライセンス名をlicensesシートのD列に入力する。</t>
    <phoneticPr fontId="2"/>
  </si>
  <si>
    <t>[注意] ライセンス名が重複すると手順2.1でライセンス選択時にエラーとなるため、重複しないよう確認すること。</t>
    <rPh sb="1" eb="3">
      <t>チュウイ</t>
    </rPh>
    <rPh sb="10" eb="11">
      <t>メイ</t>
    </rPh>
    <rPh sb="12" eb="14">
      <t>チョウフク</t>
    </rPh>
    <rPh sb="28" eb="30">
      <t>センタク</t>
    </rPh>
    <rPh sb="30" eb="31">
      <t>ジ</t>
    </rPh>
    <rPh sb="41" eb="43">
      <t>チョウフク</t>
    </rPh>
    <rPh sb="48" eb="50">
      <t>カクニン</t>
    </rPh>
    <phoneticPr fontId="2"/>
  </si>
  <si>
    <t>1.4. 注意喚起情報を登録</t>
    <phoneticPr fontId="2"/>
  </si>
  <si>
    <t>1.4.1. ライセンスのコメントを登録</t>
    <phoneticPr fontId="2"/>
  </si>
  <si>
    <t>ライセンスに対するコメントをlicensesシートのF列に入力する。</t>
    <phoneticPr fontId="2"/>
  </si>
  <si>
    <t>1.4.2. 責務に注意喚起の値を登録</t>
    <phoneticPr fontId="2"/>
  </si>
  <si>
    <t>注意喚起の値をconditionsシートのC列に入力する。</t>
    <phoneticPr fontId="2"/>
  </si>
  <si>
    <t>注意喚起の重要度と値の対応を以下に示す。</t>
    <rPh sb="14" eb="16">
      <t>イカ</t>
    </rPh>
    <rPh sb="17" eb="18">
      <t>シメ</t>
    </rPh>
    <phoneticPr fontId="2"/>
  </si>
  <si>
    <t>重要度</t>
  </si>
  <si>
    <t>注意喚起の値(入力値)</t>
  </si>
  <si>
    <t>高</t>
  </si>
  <si>
    <t>中</t>
  </si>
  <si>
    <t>低</t>
  </si>
  <si>
    <t>1.4.3. 免責事項に注意喚起の値を登録</t>
    <phoneticPr fontId="2"/>
  </si>
  <si>
    <t>注意喚起の値をnoticesシートのC列に入力する。</t>
    <phoneticPr fontId="2"/>
  </si>
  <si>
    <t>1.5. プロパティを設定</t>
    <phoneticPr fontId="2"/>
  </si>
  <si>
    <t>settingシートの各プロパティを必要に応じて設定する。</t>
    <phoneticPr fontId="2"/>
  </si>
  <si>
    <t>プロパティの一覧を以下に示す。</t>
    <rPh sb="6" eb="8">
      <t>イチラン</t>
    </rPh>
    <rPh sb="9" eb="11">
      <t>イカ</t>
    </rPh>
    <rPh sb="12" eb="13">
      <t>シメ</t>
    </rPh>
    <phoneticPr fontId="2"/>
  </si>
  <si>
    <t>プロパティ名</t>
  </si>
  <si>
    <t>プロパティの説明</t>
  </si>
  <si>
    <t>Stored_Folder</t>
  </si>
  <si>
    <t>※1.2.1の手順で実施済のため、ここでは特に対応不要。</t>
    <phoneticPr fontId="2"/>
  </si>
  <si>
    <t>Unconfirmed_License</t>
    <phoneticPr fontId="2"/>
  </si>
  <si>
    <t>論理分解データには存在するが、ライセンスポリシーには存在しないライセンスについて注意喚起する場合に、表示するコメントを記載する。</t>
  </si>
  <si>
    <t>Alert_HIGH</t>
  </si>
  <si>
    <t>責務と免責事項に対する注意喚起をおこなう場合に、セル色の凡例(重要度高)に表示するコメントを記載する。</t>
  </si>
  <si>
    <t>Alert_MIDDLE</t>
  </si>
  <si>
    <t>責務と免責事項に対する注意喚起をおこなう場合に、セル色の凡例(重要度中)に表示するコメントを記載する。</t>
  </si>
  <si>
    <t>Alert_LOW</t>
  </si>
  <si>
    <t>責務と免責事項に対する注意喚起をおこなう場合に、セル色の凡例(重要度低)に表示するコメントを記載する。</t>
  </si>
  <si>
    <t>[注意] ライセンスポリシーを使用しない場合は、Unconfirmed_Licenseプロパティの値は空欄とする。</t>
    <rPh sb="1" eb="3">
      <t>チュウイ</t>
    </rPh>
    <phoneticPr fontId="2"/>
  </si>
  <si>
    <t>2. ライセンス情報を閲覧</t>
    <phoneticPr fontId="2"/>
  </si>
  <si>
    <t>以下の手順にしたがい実施する。</t>
    <rPh sb="0" eb="2">
      <t>イカ</t>
    </rPh>
    <rPh sb="3" eb="5">
      <t>テジュン</t>
    </rPh>
    <rPh sb="10" eb="12">
      <t>ジッシ</t>
    </rPh>
    <phoneticPr fontId="2"/>
  </si>
  <si>
    <t>2.1. ライセンスを選択</t>
    <phoneticPr fontId="2"/>
  </si>
  <si>
    <t>(1) viewer(JP)シートにあるライセンスの「選択」ボタンを押下する。</t>
    <phoneticPr fontId="2"/>
  </si>
  <si>
    <t>(2) ライセンス選択のダイアログが表示されるので、プルダウンからライセンスを選択し、「OK」ボタンを押下する。</t>
    <phoneticPr fontId="2"/>
  </si>
  <si>
    <t>[補足] ・ライセンス名は、論理分解データのライセンス名とSPDX識別子から選択できる。</t>
    <rPh sb="1" eb="3">
      <t>ホソク</t>
    </rPh>
    <rPh sb="11" eb="12">
      <t>メイ</t>
    </rPh>
    <rPh sb="14" eb="16">
      <t>ロンリ</t>
    </rPh>
    <rPh sb="16" eb="18">
      <t>ブンカイ</t>
    </rPh>
    <rPh sb="27" eb="28">
      <t>メイ</t>
    </rPh>
    <rPh sb="33" eb="36">
      <t>シキベツシ</t>
    </rPh>
    <rPh sb="38" eb="40">
      <t>センタク</t>
    </rPh>
    <phoneticPr fontId="2"/>
  </si>
  <si>
    <t xml:space="preserve">          ・ライセンス名の欄に直接文字を入力することで、ライセンス名を前方一致で検索することができる。</t>
    <phoneticPr fontId="2"/>
  </si>
  <si>
    <t xml:space="preserve">          ・もし前方一致で検索できない場合は、直接、licensesシートで対象のライセンス名を検索するとよい。</t>
    <rPh sb="13" eb="15">
      <t>ゼンポウ</t>
    </rPh>
    <rPh sb="15" eb="17">
      <t>イッチ</t>
    </rPh>
    <rPh sb="18" eb="20">
      <t>ケンサク</t>
    </rPh>
    <rPh sb="24" eb="26">
      <t>バアイ</t>
    </rPh>
    <rPh sb="28" eb="30">
      <t>チョクセツ</t>
    </rPh>
    <rPh sb="43" eb="45">
      <t>タイショウ</t>
    </rPh>
    <rPh sb="51" eb="52">
      <t>メイ</t>
    </rPh>
    <rPh sb="53" eb="55">
      <t>ケンサク</t>
    </rPh>
    <phoneticPr fontId="2"/>
  </si>
  <si>
    <t>2.2. ユースケースを選択</t>
    <phoneticPr fontId="2"/>
  </si>
  <si>
    <t>(1) viewer(JP)シートにあるユースケースの「選択」ボタンを押下する。</t>
    <phoneticPr fontId="2"/>
  </si>
  <si>
    <t>(2) ユースケース選択のダイアログが表示されるので、プルダウンからユースケースを選択し、「OK」ボタンを押下する。</t>
    <phoneticPr fontId="2"/>
  </si>
  <si>
    <t>[補足] プルダウンからユースケースを選択後、ユースケースの文字列上にマウスポインタを置くと、ツールチップによって文字列を全て閲覧することができる。</t>
    <rPh sb="1" eb="3">
      <t>ホソク</t>
    </rPh>
    <rPh sb="19" eb="21">
      <t>センタク</t>
    </rPh>
    <rPh sb="21" eb="22">
      <t>ゴ</t>
    </rPh>
    <rPh sb="30" eb="33">
      <t>モジレツ</t>
    </rPh>
    <rPh sb="33" eb="34">
      <t>ジョウ</t>
    </rPh>
    <phoneticPr fontId="2"/>
  </si>
  <si>
    <t>2.3. 論理分解データを表示</t>
    <phoneticPr fontId="2"/>
  </si>
  <si>
    <t>viewer(JP)シートの「表示」ボタンを押下すると、以下を表示する。</t>
    <rPh sb="28" eb="30">
      <t>イカ</t>
    </rPh>
    <rPh sb="31" eb="33">
      <t>ヒョウジ</t>
    </rPh>
    <phoneticPr fontId="2"/>
  </si>
  <si>
    <t>・論理分解データの責務と免責事項</t>
    <rPh sb="9" eb="11">
      <t>セキム</t>
    </rPh>
    <rPh sb="12" eb="14">
      <t>メンセキ</t>
    </rPh>
    <rPh sb="14" eb="16">
      <t>ジコウ</t>
    </rPh>
    <phoneticPr fontId="2"/>
  </si>
  <si>
    <t>　ライセンスとユースケースに応じた責務と免責事項が表示される。</t>
    <rPh sb="17" eb="19">
      <t>セキム</t>
    </rPh>
    <rPh sb="20" eb="22">
      <t>メンセキ</t>
    </rPh>
    <rPh sb="22" eb="24">
      <t>ジコウ</t>
    </rPh>
    <rPh sb="25" eb="27">
      <t>ヒョウジ</t>
    </rPh>
    <phoneticPr fontId="2"/>
  </si>
  <si>
    <t>・ライセンスに対するコメント</t>
    <rPh sb="7" eb="8">
      <t>タイ</t>
    </rPh>
    <phoneticPr fontId="2"/>
  </si>
  <si>
    <t>　手順1.4.1で設定したライセンスごとのコメントが表示される。</t>
    <rPh sb="1" eb="3">
      <t>テジュン</t>
    </rPh>
    <rPh sb="26" eb="28">
      <t>ヒョウジ</t>
    </rPh>
    <phoneticPr fontId="2"/>
  </si>
  <si>
    <t>・責務と免責事項に対する注意喚起</t>
    <rPh sb="1" eb="3">
      <t>セキム</t>
    </rPh>
    <rPh sb="4" eb="6">
      <t>メンセキ</t>
    </rPh>
    <rPh sb="6" eb="8">
      <t>ジコウ</t>
    </rPh>
    <rPh sb="9" eb="10">
      <t>タイ</t>
    </rPh>
    <rPh sb="12" eb="14">
      <t>チュウイ</t>
    </rPh>
    <rPh sb="14" eb="16">
      <t>カンキ</t>
    </rPh>
    <phoneticPr fontId="2"/>
  </si>
  <si>
    <t>　手順1.4.2および1.4.3で設定した注意喚起が、重要度のレベル別にセル色を変え表示される（重要度高→赤色、重要度中→黄色、重要度低→青色）。</t>
    <rPh sb="1" eb="3">
      <t>テジュン</t>
    </rPh>
    <rPh sb="17" eb="19">
      <t>セッテイ</t>
    </rPh>
    <rPh sb="21" eb="23">
      <t>チュウイ</t>
    </rPh>
    <rPh sb="23" eb="25">
      <t>カンキ</t>
    </rPh>
    <rPh sb="27" eb="30">
      <t>ジュウヨウド</t>
    </rPh>
    <rPh sb="34" eb="35">
      <t>ベツ</t>
    </rPh>
    <rPh sb="38" eb="39">
      <t>ショク</t>
    </rPh>
    <rPh sb="40" eb="41">
      <t>カ</t>
    </rPh>
    <rPh sb="42" eb="44">
      <t>ヒョウジ</t>
    </rPh>
    <phoneticPr fontId="2"/>
  </si>
  <si>
    <t>・論理分解データには存在するが、ライセンスポリシーには存在しないライセンスに対するコメント</t>
    <rPh sb="1" eb="3">
      <t>ロンリ</t>
    </rPh>
    <rPh sb="3" eb="5">
      <t>ブンカイ</t>
    </rPh>
    <rPh sb="10" eb="12">
      <t>ソンザイ</t>
    </rPh>
    <rPh sb="27" eb="29">
      <t>ソンザイ</t>
    </rPh>
    <rPh sb="38" eb="39">
      <t>タイ</t>
    </rPh>
    <phoneticPr fontId="2"/>
  </si>
  <si>
    <t>　手順1.3.2でライセンスポリシーのライセンス名を設定し、手順1.5でUnconfirmed_Licenseプロパティにコメントを設定した場合に表示される。</t>
    <rPh sb="1" eb="3">
      <t>テジュン</t>
    </rPh>
    <rPh sb="24" eb="25">
      <t>メイ</t>
    </rPh>
    <rPh sb="26" eb="28">
      <t>セッテイ</t>
    </rPh>
    <rPh sb="30" eb="32">
      <t>テジュン</t>
    </rPh>
    <rPh sb="66" eb="68">
      <t>セッテイ</t>
    </rPh>
    <rPh sb="70" eb="72">
      <t>バアイ</t>
    </rPh>
    <rPh sb="73" eb="75">
      <t>ヒョウジ</t>
    </rPh>
    <phoneticPr fontId="2"/>
  </si>
  <si>
    <t>以上</t>
    <rPh sb="0" eb="2">
      <t>イジョウ</t>
    </rPh>
    <phoneticPr fontId="2"/>
  </si>
  <si>
    <r>
      <t xml:space="preserve">As a best practice, you should create </t>
    </r>
    <r>
      <rPr>
        <b/>
        <sz val="11"/>
        <rFont val="メイリオ"/>
        <family val="3"/>
        <charset val="128"/>
      </rPr>
      <t>License Policy</t>
    </r>
    <r>
      <rPr>
        <sz val="11"/>
        <rFont val="メイリオ"/>
        <family val="3"/>
        <charset val="128"/>
      </rPr>
      <t xml:space="preserve">(*) in your company or team to manage your OSS license policy. If it exists, this viewer provides the ability to work together it. </t>
    </r>
  </si>
  <si>
    <t>* License Policy is document describes OSS license policy; for example approval or disapproval for each license.</t>
    <phoneticPr fontId="2"/>
  </si>
  <si>
    <t>Here is an overview of the steps of the process to use this viewer.</t>
    <phoneticPr fontId="2"/>
  </si>
  <si>
    <r>
      <t xml:space="preserve">- Preparations   </t>
    </r>
    <r>
      <rPr>
        <sz val="11"/>
        <color rgb="FFFF0000"/>
        <rFont val="メイリオ"/>
        <family val="3"/>
        <charset val="128"/>
      </rPr>
      <t xml:space="preserve"> [Caution] This step is only for administrator.</t>
    </r>
    <phoneticPr fontId="2"/>
  </si>
  <si>
    <t>- Viewing license obligations and disclaimers</t>
    <phoneticPr fontId="2"/>
  </si>
  <si>
    <t>1. Preparations</t>
    <phoneticPr fontId="2"/>
  </si>
  <si>
    <t>[Caution] This chapter describes administrative tasks. If you are not administrator, you should skip this and start from Chapter 2.</t>
    <phoneticPr fontId="2"/>
  </si>
  <si>
    <t>Prior to use this viewer, administrator need to do following setup procedures. Please refer to the following table to know required or optional.</t>
  </si>
  <si>
    <t>Setup Procedure</t>
    <phoneticPr fontId="2"/>
  </si>
  <si>
    <t>Required / Optional</t>
    <phoneticPr fontId="2"/>
  </si>
  <si>
    <t>Description</t>
    <phoneticPr fontId="2"/>
  </si>
  <si>
    <t>Reference</t>
    <phoneticPr fontId="2"/>
  </si>
  <si>
    <t>Download Logical Disassembling Data</t>
    <phoneticPr fontId="2"/>
  </si>
  <si>
    <t>Optional</t>
    <phoneticPr fontId="2"/>
  </si>
  <si>
    <t>If you use your original Logical Disassembling Data, this step is not required.</t>
    <phoneticPr fontId="2"/>
  </si>
  <si>
    <t>Locate Logical Disassembling Data</t>
    <phoneticPr fontId="2"/>
  </si>
  <si>
    <t>Required</t>
    <phoneticPr fontId="2"/>
  </si>
  <si>
    <t>Import Logical Disassembling Data</t>
    <phoneticPr fontId="2"/>
  </si>
  <si>
    <t xml:space="preserve">Import Logical Disassembling Data  </t>
    <phoneticPr fontId="2"/>
  </si>
  <si>
    <t>Configure SPDX identifiers and license names of the License Policy</t>
    <phoneticPr fontId="2"/>
  </si>
  <si>
    <t>Configure SPDX identifiers</t>
    <phoneticPr fontId="2"/>
  </si>
  <si>
    <t>If you do not use SPDX identifiers, this step is not required.</t>
    <phoneticPr fontId="2"/>
  </si>
  <si>
    <t>Configure license names of License Policy</t>
    <phoneticPr fontId="2"/>
  </si>
  <si>
    <t>If you do not use License Policy together with this viewer, this step is not required.</t>
    <phoneticPr fontId="2"/>
  </si>
  <si>
    <t>Configure Alerts</t>
    <phoneticPr fontId="2"/>
  </si>
  <si>
    <t>Configure comments for each license</t>
    <phoneticPr fontId="2"/>
  </si>
  <si>
    <t>If you do not need comments for each license, this step is not required.</t>
    <phoneticPr fontId="2"/>
  </si>
  <si>
    <t>Configure alerts for obligations</t>
    <phoneticPr fontId="2"/>
  </si>
  <si>
    <t>If you do not need alerts for obligations, this step is not required.</t>
    <phoneticPr fontId="2"/>
  </si>
  <si>
    <t>Configure alerts for disclaimers</t>
    <phoneticPr fontId="2"/>
  </si>
  <si>
    <t>If you do not need alerts for disclaimers, this step is not required.</t>
    <phoneticPr fontId="2"/>
  </si>
  <si>
    <t>Configure settings</t>
    <phoneticPr fontId="2"/>
  </si>
  <si>
    <t>If you do not need comments for alerts, this step is not required.</t>
    <phoneticPr fontId="2"/>
  </si>
  <si>
    <t>1.1. Download Logical Disassembling Data</t>
    <phoneticPr fontId="2"/>
  </si>
  <si>
    <t>1.1.1. Download Logical Disassembling Data</t>
    <phoneticPr fontId="2"/>
  </si>
  <si>
    <t>Download Hitachi's sample Logical Disassembling Data from the following web site.</t>
    <phoneticPr fontId="2"/>
  </si>
  <si>
    <t>&lt;The URL of Hitachi's Logical Disassembling Data on GitHub&gt;</t>
    <phoneticPr fontId="2"/>
  </si>
  <si>
    <t xml:space="preserve">Logical Disassembling Data is composed of the following four JSON format files. </t>
  </si>
  <si>
    <t>File Name</t>
    <phoneticPr fontId="2"/>
  </si>
  <si>
    <t>licenses.json</t>
    <phoneticPr fontId="2"/>
  </si>
  <si>
    <t>actions.json</t>
    <phoneticPr fontId="2"/>
  </si>
  <si>
    <t>list of actions</t>
    <phoneticPr fontId="2"/>
  </si>
  <si>
    <t>conditions.json</t>
    <phoneticPr fontId="2"/>
  </si>
  <si>
    <t>list of obligations</t>
    <phoneticPr fontId="2"/>
  </si>
  <si>
    <t>notices.json</t>
    <phoneticPr fontId="2"/>
  </si>
  <si>
    <t>list of disclaimers</t>
    <phoneticPr fontId="2"/>
  </si>
  <si>
    <t>1.1.2. Locate Logical Disassembling Data</t>
    <phoneticPr fontId="2"/>
  </si>
  <si>
    <t>1.2. Import Logical Disassembling Data</t>
    <phoneticPr fontId="2"/>
  </si>
  <si>
    <t>1.2.1. Import Logical Disassembling Data</t>
    <phoneticPr fontId="2"/>
  </si>
  <si>
    <t>Click [Select Folder] button in setting sheet. The folder selecting dialog appears.</t>
    <phoneticPr fontId="2"/>
  </si>
  <si>
    <t>Select the folder of Logical Disassembling Data. Click [OK] to start importing.</t>
    <phoneticPr fontId="2"/>
  </si>
  <si>
    <t>[Caution] In the importing process, some sheets will be created. Note that do not rename or delete those sheets. (It may cause unexpected errors.)</t>
    <phoneticPr fontId="2"/>
  </si>
  <si>
    <t>1.3. Configure SPDX identifiers and license names of the License Policy</t>
    <phoneticPr fontId="2"/>
  </si>
  <si>
    <t>1.3.1. Configure SPDX identifiers</t>
    <phoneticPr fontId="2"/>
  </si>
  <si>
    <t>[Caution] Note that SPDX identifiers are not overlapped. If you use one SPDX identifier at the multiple place, it may cause unexpected error in step 2.1.</t>
    <phoneticPr fontId="2"/>
  </si>
  <si>
    <t>1.3.2. Configure license names of License Policy</t>
    <phoneticPr fontId="2"/>
  </si>
  <si>
    <t>[Caution] Note that license names are not overlapped. If you use one license name at the multiple place, it may cause unexpected error in step 2.1.</t>
  </si>
  <si>
    <t>1.4. Configure Alerts</t>
    <phoneticPr fontId="2"/>
  </si>
  <si>
    <t>1.4.2. Configure alerts for obligations</t>
    <phoneticPr fontId="2"/>
  </si>
  <si>
    <t>You can manage the level of alerts with the following values.</t>
    <phoneticPr fontId="2"/>
  </si>
  <si>
    <t>Alert Level</t>
    <phoneticPr fontId="2"/>
  </si>
  <si>
    <t>Values to set</t>
    <phoneticPr fontId="2"/>
  </si>
  <si>
    <t>High</t>
    <phoneticPr fontId="2"/>
  </si>
  <si>
    <t>Middle</t>
    <phoneticPr fontId="2"/>
  </si>
  <si>
    <t>Low</t>
    <phoneticPr fontId="2"/>
  </si>
  <si>
    <t>1.4.3. Configure alerts for disclaimers</t>
    <phoneticPr fontId="2"/>
  </si>
  <si>
    <t>1.5. Configure settings</t>
    <phoneticPr fontId="2"/>
  </si>
  <si>
    <t>The list of properties is as follows.</t>
    <phoneticPr fontId="2"/>
  </si>
  <si>
    <t>Property Name</t>
    <phoneticPr fontId="2"/>
  </si>
  <si>
    <t>※ This setting is not required if it was done in step 1.2.1.</t>
    <phoneticPr fontId="2"/>
  </si>
  <si>
    <t>If you want to warn users on the licenses which is described in Logical Disassembling Data but not described in License Policy, set comments to be used to notice.</t>
    <phoneticPr fontId="2"/>
  </si>
  <si>
    <t>If you want to warn users on obligations and disclaimers, set comments to be used to notice in level High.</t>
    <phoneticPr fontId="2"/>
  </si>
  <si>
    <t>If you want to warn users on obligations and disclaimers, set comments to be used to notice in level Middle.</t>
    <phoneticPr fontId="2"/>
  </si>
  <si>
    <t>If you want to warn users on obligations and disclaimers, set comments to be used to notice in level Low.</t>
    <phoneticPr fontId="2"/>
  </si>
  <si>
    <t>[Caution] If you do not use License Policy, note that the value of Unconfirmed_License is blank.</t>
    <phoneticPr fontId="2"/>
  </si>
  <si>
    <t>2. Viewing license obligations and disclaimers</t>
    <phoneticPr fontId="2"/>
  </si>
  <si>
    <t>The procedures are as follows.</t>
    <phoneticPr fontId="2"/>
  </si>
  <si>
    <t>2.1. Select a license</t>
    <phoneticPr fontId="2"/>
  </si>
  <si>
    <t>(1) Click [Select] button in viewer(EN) sheet to select a license. The license selecting dialog appears.</t>
    <phoneticPr fontId="2"/>
  </si>
  <si>
    <t>(2) Select a license and click [OK] button.</t>
    <phoneticPr fontId="2"/>
  </si>
  <si>
    <t>[Note]  - You can use license names of Logical Disassembling Data and SPDX Identifiers to select a license.</t>
  </si>
  <si>
    <t>2.2. Select Use Case</t>
    <phoneticPr fontId="2"/>
  </si>
  <si>
    <t>(1) Click [Select] button in viewer(EN) sheet to select a use case. The use case selecting dialog appears.</t>
    <phoneticPr fontId="2"/>
  </si>
  <si>
    <t>(2) Select a use case and click [OK] button.</t>
    <phoneticPr fontId="2"/>
  </si>
  <si>
    <t>[Note] You can see the full text of use case by placing the pointer over them.</t>
    <phoneticPr fontId="2"/>
  </si>
  <si>
    <t>2.3. View license obligations and disclaimers</t>
    <phoneticPr fontId="2"/>
  </si>
  <si>
    <t>You can see the following information by clicking [Show] button in viewer(EN) sheet.</t>
    <phoneticPr fontId="2"/>
  </si>
  <si>
    <t>- Obligations and disclaimers of Logical Disassembling Data</t>
    <phoneticPr fontId="2"/>
  </si>
  <si>
    <t xml:space="preserve">   Obligations and disclaimers correspond with the selected license and use case are displayed.</t>
    <phoneticPr fontId="2"/>
  </si>
  <si>
    <t>- Comments for licenses</t>
    <phoneticPr fontId="2"/>
  </si>
  <si>
    <t xml:space="preserve">   Comments for each license that was set in step 1.4.1 is displayed.</t>
    <phoneticPr fontId="2"/>
  </si>
  <si>
    <t>- Alerts for obligations and disclaimers</t>
    <phoneticPr fontId="2"/>
  </si>
  <si>
    <t xml:space="preserve">   Alerts that were set in step 1.4.2 and 1.4.3 is displayed with different cell colors for each level of alert. (High : Red, Middle : Yellow, Low : Blue)</t>
  </si>
  <si>
    <t>- Comments for the licenses which is described in Logical Disassembling Data but not described in License Policy</t>
    <phoneticPr fontId="2"/>
  </si>
  <si>
    <t xml:space="preserve">   Comments is displayed in case that license names of License Policy was set in step 1.3.2 and comments was set with Unconfirmed_License property in step 1.5.</t>
    <phoneticPr fontId="2"/>
  </si>
  <si>
    <t>That's all. Enjoy easy license management!!</t>
    <phoneticPr fontId="2"/>
  </si>
  <si>
    <t xml:space="preserve">            - You can do prefix search for license names by writing the license name in the text box.</t>
    <phoneticPr fontId="2"/>
  </si>
  <si>
    <t xml:space="preserve">            - If the prefix search hits nothing, you need to find the exact license name in licenses sheet.</t>
    <phoneticPr fontId="2"/>
  </si>
  <si>
    <t>In column C in the licenses sheet, set SPDX identifiers that corresponds with license names in Logical Disassembling Data of column B.</t>
    <phoneticPr fontId="2"/>
  </si>
  <si>
    <t>In column D in the licenses sheet, set license names of License Policy that corresponds with license names in Logical Disassembling Data of column B.</t>
    <phoneticPr fontId="2"/>
  </si>
  <si>
    <t>Set values for alerts in column C in conditions sheet.</t>
    <phoneticPr fontId="2"/>
  </si>
  <si>
    <t>If necessary, set each property in setting sheet.</t>
    <phoneticPr fontId="2"/>
  </si>
  <si>
    <t>list of licenses with core data of Logical Disassembling Data</t>
    <phoneticPr fontId="2"/>
  </si>
  <si>
    <t>説明</t>
    <rPh sb="0" eb="2">
      <t>セツメイ</t>
    </rPh>
    <phoneticPr fontId="2"/>
  </si>
  <si>
    <t>ユースケースのリスト</t>
    <phoneticPr fontId="2"/>
  </si>
  <si>
    <t>責務のリスト</t>
    <rPh sb="0" eb="2">
      <t>セキム</t>
    </rPh>
    <phoneticPr fontId="2"/>
  </si>
  <si>
    <t>免責事項のリスト</t>
    <rPh sb="0" eb="2">
      <t>メンセキ</t>
    </rPh>
    <rPh sb="2" eb="4">
      <t>ジコウ</t>
    </rPh>
    <phoneticPr fontId="2"/>
  </si>
  <si>
    <t>論理分解データの中核となるデータを含むライセンスのリスト</t>
    <rPh sb="0" eb="2">
      <t>ロンリ</t>
    </rPh>
    <rPh sb="2" eb="4">
      <t>ブンカイ</t>
    </rPh>
    <rPh sb="8" eb="10">
      <t>チュウカク</t>
    </rPh>
    <rPh sb="17" eb="18">
      <t>フク</t>
    </rPh>
    <phoneticPr fontId="2"/>
  </si>
  <si>
    <r>
      <t xml:space="preserve">* This viewer uses a data set, named as </t>
    </r>
    <r>
      <rPr>
        <b/>
        <sz val="11"/>
        <rFont val="メイリオ"/>
        <family val="3"/>
        <charset val="128"/>
      </rPr>
      <t>Logical Disassembling Data</t>
    </r>
    <r>
      <rPr>
        <sz val="11"/>
        <rFont val="メイリオ"/>
        <family val="3"/>
        <charset val="128"/>
      </rPr>
      <t>. The concept was defined by Hitachi, Ltd. on GitHub(https://codeload.github.com/Hitachi/open-license/).</t>
    </r>
    <phoneticPr fontId="2"/>
  </si>
  <si>
    <r>
      <t xml:space="preserve">  </t>
    </r>
    <r>
      <rPr>
        <u/>
        <sz val="11"/>
        <rFont val="メイリオ"/>
        <family val="3"/>
        <charset val="128"/>
      </rPr>
      <t xml:space="preserve"> You can download and use Hitachi's sample data, or use your original data in the same format.</t>
    </r>
    <phoneticPr fontId="2"/>
  </si>
  <si>
    <t>open source licenses in your company or your team.</t>
    <phoneticPr fontId="2"/>
  </si>
  <si>
    <t>-</t>
    <phoneticPr fontId="2"/>
  </si>
  <si>
    <t>1.4.1. Register a comment for license</t>
    <phoneticPr fontId="2"/>
  </si>
  <si>
    <t>セットアップ手順</t>
    <rPh sb="6" eb="8">
      <t>テジュン</t>
    </rPh>
    <phoneticPr fontId="2"/>
  </si>
  <si>
    <t>セットアップ手順には必ず実施すべきもの(必須)と必要に応じて実施するもの(任意)があり、以下の表を参照し、必要な手順を選択し実施する。</t>
    <rPh sb="6" eb="8">
      <t>テジュン</t>
    </rPh>
    <rPh sb="44" eb="46">
      <t>イカ</t>
    </rPh>
    <rPh sb="47" eb="48">
      <t>ヒョウ</t>
    </rPh>
    <rPh sb="49" eb="51">
      <t>サンショウ</t>
    </rPh>
    <rPh sb="56" eb="58">
      <t>テジュン</t>
    </rPh>
    <phoneticPr fontId="2"/>
  </si>
  <si>
    <t>Set comments for each license in column E in licenses sheet.</t>
    <phoneticPr fontId="2"/>
  </si>
  <si>
    <t>Set values for alerts in column C in notices sheet.</t>
    <phoneticPr fontId="2"/>
  </si>
  <si>
    <t>Locate Logical Disassembling Data in a directory of your choice. You can use your original Logical Disassembling Data in the same way.</t>
    <phoneticPr fontId="2"/>
  </si>
  <si>
    <t>(EN)
If you want to warn users on the licenses which is described in Logical Disassembling Data but not described in License Policy, set comments to be used to notice.
(JP)
論理分解データには存在するが、ライセンスポリシーには存在しないライセンスについて、注意喚起する際のコメントを記載する。</t>
    <rPh sb="173" eb="175">
      <t>ロンリ</t>
    </rPh>
    <rPh sb="175" eb="177">
      <t>ブンカイ</t>
    </rPh>
    <rPh sb="182" eb="184">
      <t>ソンザイ</t>
    </rPh>
    <rPh sb="199" eb="201">
      <t>ソンザイ</t>
    </rPh>
    <rPh sb="214" eb="216">
      <t>チュウイ</t>
    </rPh>
    <rPh sb="216" eb="218">
      <t>カンキ</t>
    </rPh>
    <rPh sb="220" eb="221">
      <t>サイ</t>
    </rPh>
    <rPh sb="227" eb="229">
      <t>キサイ</t>
    </rPh>
    <phoneticPr fontId="4"/>
  </si>
  <si>
    <t>(EN)
If you want to warn users on obligations and disclaimers, please set comments to be used to notice in level High.
(JP)
セル色の凡例(重要度高)のコメントを記載する。</t>
    <rPh sb="126" eb="127">
      <t>ショク</t>
    </rPh>
    <rPh sb="128" eb="130">
      <t>ハンレイ</t>
    </rPh>
    <rPh sb="131" eb="134">
      <t>ジュウヨウド</t>
    </rPh>
    <rPh sb="134" eb="135">
      <t>コウ</t>
    </rPh>
    <rPh sb="142" eb="144">
      <t>キサイ</t>
    </rPh>
    <phoneticPr fontId="4"/>
  </si>
  <si>
    <t>(EN)
If you want to warn users on obligations and disclaimers, set comments to be used to notice in level Middle.
(JP)
セル色の凡例(重要度中)のコメントを記載する。</t>
    <rPh sb="121" eb="122">
      <t>ショク</t>
    </rPh>
    <rPh sb="123" eb="125">
      <t>ハンレイ</t>
    </rPh>
    <rPh sb="126" eb="129">
      <t>ジュウヨウド</t>
    </rPh>
    <rPh sb="129" eb="130">
      <t>チュウ</t>
    </rPh>
    <rPh sb="137" eb="139">
      <t>キサイ</t>
    </rPh>
    <phoneticPr fontId="4"/>
  </si>
  <si>
    <t>(EN)
If you want to warn users on obligations and disclaimers, set comments to be used to notice in level Low.
(JP)
セル色の凡例(重要度低)のコメントを記載する。</t>
    <rPh sb="118" eb="119">
      <t>ショク</t>
    </rPh>
    <rPh sb="120" eb="122">
      <t>ハンレイ</t>
    </rPh>
    <rPh sb="123" eb="126">
      <t>ジュウヨウド</t>
    </rPh>
    <rPh sb="126" eb="127">
      <t>テイ</t>
    </rPh>
    <rPh sb="134" eb="136">
      <t>キサイ</t>
    </rPh>
    <phoneticPr fontId="4"/>
  </si>
  <si>
    <t>(EN)
Specify a directory that Logical Disassembling Data is located.
(JP)
論理分解データが格納されたフォルダを指定する。</t>
    <phoneticPr fontId="2"/>
  </si>
  <si>
    <r>
      <t>また、</t>
    </r>
    <r>
      <rPr>
        <b/>
        <sz val="11"/>
        <color theme="1"/>
        <rFont val="メイリオ"/>
        <family val="3"/>
        <charset val="128"/>
      </rPr>
      <t>ライセンスポリシー</t>
    </r>
    <r>
      <rPr>
        <sz val="11"/>
        <color theme="1"/>
        <rFont val="メイリオ"/>
        <family val="3"/>
        <charset val="128"/>
      </rPr>
      <t>（個別のライセンスに対する活用可否など方針をまとめたドキュメント）が会社や組織で存在する場合は、本ツールとあわせて活用することができる。</t>
    </r>
    <phoneticPr fontId="2"/>
  </si>
  <si>
    <t>論理分解データを取り込む</t>
    <phoneticPr fontId="2"/>
  </si>
  <si>
    <t>1.2. 論理分解データを取り込む</t>
    <phoneticPr fontId="2"/>
  </si>
  <si>
    <t xml:space="preserve">[Caution] Note that make sure the names of each file are correct. If you saved them with different names, this viewer does not import them. </t>
    <phoneticPr fontId="2"/>
  </si>
  <si>
    <t>独自の注意喚起情報を登録し閲覧できるツールである。</t>
    <phoneticPr fontId="2"/>
  </si>
  <si>
    <r>
      <t>※株式会社日立製作所がGitHubに公開している</t>
    </r>
    <r>
      <rPr>
        <b/>
        <sz val="11"/>
        <color theme="1"/>
        <rFont val="メイリオ"/>
        <family val="3"/>
        <charset val="128"/>
      </rPr>
      <t>論理分解データ</t>
    </r>
    <r>
      <rPr>
        <sz val="11"/>
        <color theme="1"/>
        <rFont val="メイリオ"/>
        <family val="3"/>
        <charset val="128"/>
      </rPr>
      <t>(https://codeload.github.com/Hitachi/open-license/zip/master)のフォーマットに準ずるデータで、</t>
    </r>
    <rPh sb="24" eb="26">
      <t>ロンリ</t>
    </rPh>
    <rPh sb="26" eb="28">
      <t>ブンカイ</t>
    </rPh>
    <rPh sb="100" eb="101">
      <t>ジュン</t>
    </rPh>
    <phoneticPr fontId="2"/>
  </si>
  <si>
    <t xml:space="preserve">   OSSライセンスの条文を責務や免責事項などの要素ごとに分解し整理したものである。</t>
    <phoneticPr fontId="2"/>
  </si>
  <si>
    <r>
      <rPr>
        <b/>
        <sz val="11"/>
        <rFont val="メイリオ"/>
        <family val="3"/>
        <charset val="128"/>
      </rPr>
      <t>OSS License Simple Viewer</t>
    </r>
    <r>
      <rPr>
        <sz val="11"/>
        <rFont val="メイリオ"/>
        <family val="3"/>
        <charset val="128"/>
      </rPr>
      <t xml:space="preserve"> provides an easy way of understanding OSS license obligations and disclaimers. With this viewer, you can create your own rules to govern the use of</t>
    </r>
    <phoneticPr fontId="2"/>
  </si>
  <si>
    <t>Instruction Manual for OSS License Simple Viewer</t>
    <phoneticPr fontId="2"/>
  </si>
  <si>
    <t>OSS License Simple Viewerの操作説明</t>
    <rPh sb="26" eb="28">
      <t>ソウサ</t>
    </rPh>
    <rPh sb="28" eb="30">
      <t>セツメイ</t>
    </rPh>
    <phoneticPr fontId="2"/>
  </si>
  <si>
    <r>
      <rPr>
        <b/>
        <sz val="11"/>
        <color theme="1"/>
        <rFont val="メイリオ"/>
        <family val="3"/>
        <charset val="128"/>
      </rPr>
      <t>OSS License Simple Viewer</t>
    </r>
    <r>
      <rPr>
        <sz val="11"/>
        <color theme="1"/>
        <rFont val="メイリオ"/>
        <family val="3"/>
        <charset val="128"/>
      </rPr>
      <t>は、論理分解データ(※)に含まれるOSSのライセンスに記載されている責務や免責事項を手軽に確認でき、また、OSSのライセンスに対して</t>
    </r>
    <rPh sb="27" eb="29">
      <t>ロンリ</t>
    </rPh>
    <rPh sb="29" eb="31">
      <t>ブンカイ</t>
    </rPh>
    <rPh sb="38" eb="39">
      <t>フク</t>
    </rPh>
    <rPh sb="67" eb="69">
      <t>テガル</t>
    </rPh>
    <rPh sb="70" eb="72">
      <t>カクニン</t>
    </rPh>
    <phoneticPr fontId="2"/>
  </si>
  <si>
    <t>[注意] ファイル名を誤った場合は、OSS License Simple Viewerにデータインポートされないので、ファイル名が正しいことを確認すること。</t>
    <rPh sb="1" eb="3">
      <t>チュウイ</t>
    </rPh>
    <rPh sb="63" eb="64">
      <t>メイ</t>
    </rPh>
    <rPh sb="65" eb="66">
      <t>タダ</t>
    </rPh>
    <rPh sb="71" eb="73">
      <t>カクニン</t>
    </rPh>
    <phoneticPr fontId="2"/>
  </si>
  <si>
    <r>
      <rPr>
        <b/>
        <sz val="11"/>
        <color theme="1"/>
        <rFont val="メイリオ"/>
        <family val="3"/>
        <charset val="128"/>
      </rPr>
      <t>MIT License</t>
    </r>
    <r>
      <rPr>
        <sz val="11"/>
        <color theme="1"/>
        <rFont val="メイリオ"/>
        <family val="3"/>
        <charset val="128"/>
      </rPr>
      <t xml:space="preserve">
Copyright 2020 TOYOTA MOTOR CORPORATION.
Copyright 2020 Hitachi Solutions, Ltd.
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</si>
</sst>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ＭＳ Ｐゴシック"/>
      <family val="2"/>
      <charset val="128"/>
    </font>
    <font>
      <sz val="11"/>
      <color theme="1"/>
      <name val="ＭＳ Ｐゴシック"/>
      <family val="2"/>
      <charset val="128"/>
    </font>
    <font>
      <sz val="6"/>
      <name val="ＭＳ Ｐゴシック"/>
      <family val="2"/>
      <charset val="128"/>
    </font>
    <font>
      <b/>
      <sz val="11"/>
      <color theme="1"/>
      <name val="メイリオ"/>
      <family val="3"/>
      <charset val="128"/>
    </font>
    <font>
      <sz val="6"/>
      <name val="游ゴシック"/>
      <family val="3"/>
      <charset val="128"/>
      <scheme val="minor"/>
    </font>
    <font>
      <sz val="11"/>
      <color theme="1"/>
      <name val="メイリオ"/>
      <family val="3"/>
      <charset val="128"/>
    </font>
    <font>
      <sz val="11"/>
      <color theme="1"/>
      <name val="游ゴシック"/>
      <family val="2"/>
      <scheme val="minor"/>
    </font>
    <font>
      <sz val="11"/>
      <color rgb="FFFF0000"/>
      <name val="メイリオ"/>
      <family val="3"/>
      <charset val="128"/>
    </font>
    <font>
      <sz val="11"/>
      <color rgb="FF000000"/>
      <name val="メイリオ"/>
      <family val="3"/>
      <charset val="128"/>
    </font>
    <font>
      <b/>
      <sz val="16"/>
      <color theme="1"/>
      <name val="メイリオ"/>
      <family val="3"/>
      <charset val="128"/>
    </font>
    <font>
      <sz val="11"/>
      <name val="メイリオ"/>
      <family val="3"/>
      <charset val="128"/>
    </font>
    <font>
      <b/>
      <sz val="11"/>
      <name val="メイリオ"/>
      <family val="3"/>
      <charset val="128"/>
    </font>
    <font>
      <u/>
      <sz val="11"/>
      <name val="メイリオ"/>
      <family val="3"/>
      <charset val="128"/>
    </font>
    <font>
      <sz val="11"/>
      <name val="ＭＳ Ｐゴシック"/>
      <family val="2"/>
      <charset val="128"/>
    </font>
  </fonts>
  <fills count="9">
    <fill>
      <patternFill patternType="none"/>
    </fill>
    <fill>
      <patternFill patternType="gray125"/>
    </fill>
    <fill>
      <patternFill patternType="solid">
        <fgColor rgb="FFC6E0B4"/>
        <bgColor indexed="64"/>
      </patternFill>
    </fill>
    <fill>
      <patternFill patternType="solid">
        <fgColor theme="9" tint="0.59999389629810485"/>
        <bgColor indexed="64"/>
      </patternFill>
    </fill>
    <fill>
      <patternFill patternType="solid">
        <fgColor rgb="FFFFBBBB"/>
        <bgColor indexed="64"/>
      </patternFill>
    </fill>
    <fill>
      <patternFill patternType="solid">
        <fgColor rgb="FF99DDFF"/>
        <bgColor indexed="64"/>
      </patternFill>
    </fill>
    <fill>
      <patternFill patternType="solid">
        <fgColor rgb="FFFFFE88"/>
        <bgColor indexed="64"/>
      </patternFill>
    </fill>
    <fill>
      <patternFill patternType="solid">
        <fgColor theme="0" tint="-0.34998626667073579"/>
        <bgColor indexed="64"/>
      </patternFill>
    </fill>
    <fill>
      <patternFill patternType="solid">
        <fgColor theme="4" tint="0.79998168889431442"/>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alignment vertical="center"/>
    </xf>
    <xf numFmtId="0" fontId="1" fillId="0" borderId="0">
      <alignment vertical="center"/>
    </xf>
    <xf numFmtId="0" fontId="6" fillId="0" borderId="0"/>
  </cellStyleXfs>
  <cellXfs count="65">
    <xf numFmtId="0" fontId="0" fillId="0" borderId="0" xfId="0">
      <alignment vertical="center"/>
    </xf>
    <xf numFmtId="0" fontId="3" fillId="0" borderId="0" xfId="1" applyFont="1">
      <alignment vertical="center"/>
    </xf>
    <xf numFmtId="0" fontId="5" fillId="0" borderId="1" xfId="2" applyFont="1" applyBorder="1" applyAlignment="1">
      <alignment vertical="top" wrapText="1"/>
    </xf>
    <xf numFmtId="0" fontId="7" fillId="0" borderId="0" xfId="1" applyFont="1" applyAlignment="1">
      <alignment vertical="top"/>
    </xf>
    <xf numFmtId="0" fontId="5" fillId="0" borderId="0" xfId="1" applyFont="1">
      <alignment vertical="center"/>
    </xf>
    <xf numFmtId="0" fontId="5" fillId="0" borderId="0" xfId="2" applyFont="1"/>
    <xf numFmtId="0" fontId="5" fillId="3" borderId="2" xfId="1" applyFont="1" applyFill="1" applyBorder="1">
      <alignment vertical="center"/>
    </xf>
    <xf numFmtId="0" fontId="5" fillId="0" borderId="2" xfId="1" applyFont="1" applyBorder="1" applyAlignment="1">
      <alignment vertical="top" wrapText="1"/>
    </xf>
    <xf numFmtId="0" fontId="5" fillId="0" borderId="1" xfId="1" applyFont="1" applyBorder="1" applyAlignment="1">
      <alignment vertical="center" wrapText="1"/>
    </xf>
    <xf numFmtId="0" fontId="0" fillId="0" borderId="0" xfId="0" applyFont="1">
      <alignment vertical="center"/>
    </xf>
    <xf numFmtId="0" fontId="5" fillId="6" borderId="2" xfId="1" applyFont="1" applyFill="1" applyBorder="1">
      <alignment vertical="center"/>
    </xf>
    <xf numFmtId="0" fontId="5" fillId="4" borderId="2" xfId="1" applyFont="1" applyFill="1" applyBorder="1">
      <alignment vertical="center"/>
    </xf>
    <xf numFmtId="0" fontId="5" fillId="5" borderId="2" xfId="1" applyFont="1" applyFill="1" applyBorder="1">
      <alignment vertical="center"/>
    </xf>
    <xf numFmtId="0" fontId="5" fillId="0" borderId="1" xfId="2" applyFont="1" applyBorder="1" applyAlignment="1">
      <alignment wrapText="1"/>
    </xf>
    <xf numFmtId="0" fontId="5" fillId="0" borderId="0" xfId="0" applyFont="1">
      <alignment vertical="center"/>
    </xf>
    <xf numFmtId="0" fontId="3" fillId="0" borderId="0" xfId="0" applyFont="1">
      <alignment vertical="center"/>
    </xf>
    <xf numFmtId="0" fontId="5" fillId="2" borderId="2" xfId="0" applyFont="1" applyFill="1" applyBorder="1">
      <alignment vertical="center"/>
    </xf>
    <xf numFmtId="0" fontId="5" fillId="7" borderId="0" xfId="0" applyFont="1" applyFill="1">
      <alignment vertical="center"/>
    </xf>
    <xf numFmtId="0" fontId="9" fillId="0" borderId="0" xfId="0" applyFont="1">
      <alignment vertical="center"/>
    </xf>
    <xf numFmtId="0" fontId="7" fillId="0" borderId="0" xfId="0" applyFont="1">
      <alignment vertical="center"/>
    </xf>
    <xf numFmtId="0" fontId="5" fillId="8" borderId="2" xfId="0" applyFont="1" applyFill="1" applyBorder="1" applyAlignment="1">
      <alignment horizontal="center" vertical="top" wrapText="1"/>
    </xf>
    <xf numFmtId="0" fontId="5" fillId="8" borderId="2" xfId="0" applyFont="1" applyFill="1" applyBorder="1" applyAlignment="1">
      <alignment vertical="top" wrapText="1"/>
    </xf>
    <xf numFmtId="0" fontId="5" fillId="0" borderId="2" xfId="0" applyFont="1" applyBorder="1" applyAlignment="1">
      <alignment horizontal="center" vertical="top" wrapText="1"/>
    </xf>
    <xf numFmtId="0" fontId="5" fillId="0" borderId="2" xfId="0" applyFont="1" applyBorder="1" applyAlignment="1">
      <alignment vertical="top" wrapText="1"/>
    </xf>
    <xf numFmtId="0" fontId="5" fillId="8" borderId="2" xfId="0" applyFont="1" applyFill="1" applyBorder="1" applyAlignment="1">
      <alignment horizontal="center" vertical="center"/>
    </xf>
    <xf numFmtId="0" fontId="5" fillId="8" borderId="2" xfId="0" applyFont="1" applyFill="1" applyBorder="1">
      <alignment vertical="center"/>
    </xf>
    <xf numFmtId="0" fontId="5" fillId="0" borderId="2" xfId="0" applyFont="1" applyBorder="1" applyAlignment="1">
      <alignment horizontal="center" vertical="center"/>
    </xf>
    <xf numFmtId="0" fontId="5" fillId="0" borderId="2" xfId="0" applyFont="1" applyBorder="1">
      <alignment vertical="center"/>
    </xf>
    <xf numFmtId="0" fontId="5" fillId="0" borderId="0" xfId="0" applyFont="1" applyAlignment="1">
      <alignment horizontal="left" vertical="center"/>
    </xf>
    <xf numFmtId="0" fontId="10" fillId="0" borderId="0" xfId="0" applyFont="1">
      <alignment vertical="center"/>
    </xf>
    <xf numFmtId="0" fontId="5" fillId="0" borderId="0" xfId="0" applyFont="1" applyAlignment="1">
      <alignment horizontal="center" vertical="center"/>
    </xf>
    <xf numFmtId="0" fontId="10" fillId="0" borderId="0" xfId="0" quotePrefix="1" applyFont="1">
      <alignment vertical="center"/>
    </xf>
    <xf numFmtId="0" fontId="11" fillId="0" borderId="0" xfId="0" applyFont="1">
      <alignment vertical="center"/>
    </xf>
    <xf numFmtId="0" fontId="10" fillId="8" borderId="2" xfId="0" applyFont="1" applyFill="1" applyBorder="1" applyAlignment="1">
      <alignment horizontal="center" vertical="top" wrapText="1"/>
    </xf>
    <xf numFmtId="0" fontId="10" fillId="8" borderId="2" xfId="0" applyFont="1" applyFill="1" applyBorder="1" applyAlignment="1">
      <alignment vertical="top" wrapText="1"/>
    </xf>
    <xf numFmtId="0" fontId="10" fillId="0" borderId="2" xfId="0" applyFont="1" applyBorder="1" applyAlignment="1">
      <alignment horizontal="center" vertical="top" wrapText="1"/>
    </xf>
    <xf numFmtId="0" fontId="10" fillId="0" borderId="2" xfId="0" applyFont="1" applyBorder="1" applyAlignment="1">
      <alignment vertical="top" wrapText="1"/>
    </xf>
    <xf numFmtId="0" fontId="10" fillId="8" borderId="2" xfId="0" applyFont="1" applyFill="1" applyBorder="1" applyAlignment="1">
      <alignment horizontal="center" vertical="center"/>
    </xf>
    <xf numFmtId="0" fontId="10" fillId="8" borderId="2" xfId="0" applyFont="1" applyFill="1" applyBorder="1" applyAlignment="1">
      <alignment vertical="center" wrapText="1"/>
    </xf>
    <xf numFmtId="0" fontId="10" fillId="0" borderId="2" xfId="0" applyFont="1" applyBorder="1" applyAlignment="1">
      <alignment horizontal="center" vertical="center"/>
    </xf>
    <xf numFmtId="0" fontId="10" fillId="0" borderId="2" xfId="0" applyFont="1" applyBorder="1">
      <alignment vertical="center"/>
    </xf>
    <xf numFmtId="0" fontId="10" fillId="0" borderId="0" xfId="0" applyFont="1" applyAlignment="1">
      <alignment horizontal="left"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0" fontId="11" fillId="0" borderId="0" xfId="0" quotePrefix="1" applyFont="1">
      <alignment vertical="center"/>
    </xf>
    <xf numFmtId="0" fontId="10" fillId="0" borderId="0" xfId="0" applyFont="1" applyFill="1">
      <alignment vertical="center"/>
    </xf>
    <xf numFmtId="0" fontId="5" fillId="0" borderId="1" xfId="0" applyFont="1" applyBorder="1" applyAlignment="1">
      <alignment vertical="center" wrapText="1"/>
    </xf>
    <xf numFmtId="0" fontId="10" fillId="0" borderId="2" xfId="0" applyFont="1" applyBorder="1" applyAlignment="1">
      <alignment vertical="center" wrapText="1"/>
    </xf>
    <xf numFmtId="0" fontId="13" fillId="0" borderId="2" xfId="0" applyFont="1" applyBorder="1" applyAlignment="1">
      <alignment vertical="center" wrapText="1"/>
    </xf>
    <xf numFmtId="0" fontId="10" fillId="8" borderId="2" xfId="0" applyFont="1" applyFill="1" applyBorder="1" applyAlignment="1">
      <alignment vertical="top" wrapText="1"/>
    </xf>
    <xf numFmtId="0" fontId="0" fillId="0" borderId="2" xfId="0" applyBorder="1" applyAlignment="1">
      <alignment vertical="top" wrapText="1"/>
    </xf>
    <xf numFmtId="0" fontId="10" fillId="0" borderId="2" xfId="0" applyFont="1" applyBorder="1" applyAlignment="1">
      <alignment vertical="top" wrapText="1"/>
    </xf>
    <xf numFmtId="0" fontId="13" fillId="0" borderId="2" xfId="0" applyFont="1" applyBorder="1" applyAlignment="1">
      <alignment vertical="top" wrapText="1"/>
    </xf>
    <xf numFmtId="0" fontId="13" fillId="8" borderId="2" xfId="0" applyFont="1" applyFill="1" applyBorder="1" applyAlignment="1">
      <alignment vertical="top" wrapText="1"/>
    </xf>
    <xf numFmtId="0" fontId="10" fillId="0" borderId="3" xfId="0" applyFont="1" applyBorder="1" applyAlignment="1">
      <alignment vertical="top" wrapText="1"/>
    </xf>
    <xf numFmtId="0" fontId="13" fillId="0" borderId="5" xfId="0" applyFont="1" applyBorder="1" applyAlignment="1">
      <alignment vertical="top" wrapText="1"/>
    </xf>
    <xf numFmtId="0" fontId="13" fillId="0" borderId="4" xfId="0" applyFont="1" applyBorder="1" applyAlignment="1">
      <alignment vertical="top" wrapText="1"/>
    </xf>
    <xf numFmtId="0" fontId="5" fillId="8" borderId="2" xfId="0" applyFont="1" applyFill="1" applyBorder="1" applyAlignment="1">
      <alignment vertical="top" wrapText="1"/>
    </xf>
    <xf numFmtId="0" fontId="0" fillId="8" borderId="2" xfId="0" applyFill="1" applyBorder="1" applyAlignment="1">
      <alignment vertical="top" wrapText="1"/>
    </xf>
    <xf numFmtId="0" fontId="0" fillId="0" borderId="2" xfId="0" applyBorder="1" applyAlignment="1">
      <alignment vertical="center" wrapText="1"/>
    </xf>
    <xf numFmtId="0" fontId="5" fillId="0" borderId="3" xfId="0" applyFont="1" applyBorder="1" applyAlignment="1">
      <alignment vertical="top" wrapText="1"/>
    </xf>
    <xf numFmtId="0" fontId="0" fillId="0" borderId="4" xfId="0" applyBorder="1" applyAlignment="1">
      <alignment vertical="top" wrapText="1"/>
    </xf>
    <xf numFmtId="0" fontId="5" fillId="0" borderId="2" xfId="0" applyFont="1" applyBorder="1" applyAlignment="1">
      <alignment vertical="top" wrapText="1"/>
    </xf>
    <xf numFmtId="0" fontId="0" fillId="0" borderId="5" xfId="0" applyBorder="1" applyAlignment="1">
      <alignment vertical="top" wrapText="1"/>
    </xf>
    <xf numFmtId="0" fontId="5" fillId="0" borderId="2" xfId="0" applyFont="1" applyBorder="1" applyAlignment="1">
      <alignment vertical="center" wrapText="1"/>
    </xf>
  </cellXfs>
  <cellStyles count="3">
    <cellStyle name="標準" xfId="0" builtinId="0"/>
    <cellStyle name="標準 2" xfId="1" xr:uid="{BFE160AA-0704-4417-86AE-C5DC246F2771}"/>
    <cellStyle name="標準 3" xfId="2" xr:uid="{C4CAF603-D2D2-4350-B142-5D5E4CD64E12}"/>
  </cellStyles>
  <dxfs count="0"/>
  <tableStyles count="0" defaultTableStyle="TableStyleMedium2" defaultPivotStyle="PivotStyleLight16"/>
  <colors>
    <mruColors>
      <color rgb="FF99DDFF"/>
      <color rgb="FFFFBBBB"/>
      <color rgb="FFFFFE88"/>
      <color rgb="FFB4C6E7"/>
      <color rgb="FFFFFF0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2</xdr:row>
          <xdr:rowOff>9525</xdr:rowOff>
        </xdr:from>
        <xdr:to>
          <xdr:col>3</xdr:col>
          <xdr:colOff>619125</xdr:colOff>
          <xdr:row>2</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7</xdr:row>
          <xdr:rowOff>9525</xdr:rowOff>
        </xdr:from>
        <xdr:to>
          <xdr:col>2</xdr:col>
          <xdr:colOff>514350</xdr:colOff>
          <xdr:row>7</xdr:row>
          <xdr:rowOff>228600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3</xdr:col>
          <xdr:colOff>619125</xdr:colOff>
          <xdr:row>5</xdr:row>
          <xdr:rowOff>228600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Select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2</xdr:row>
          <xdr:rowOff>9525</xdr:rowOff>
        </xdr:from>
        <xdr:to>
          <xdr:col>3</xdr:col>
          <xdr:colOff>638175</xdr:colOff>
          <xdr:row>2</xdr:row>
          <xdr:rowOff>219075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選択</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7</xdr:row>
          <xdr:rowOff>9525</xdr:rowOff>
        </xdr:from>
        <xdr:to>
          <xdr:col>2</xdr:col>
          <xdr:colOff>504825</xdr:colOff>
          <xdr:row>7</xdr:row>
          <xdr:rowOff>219075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5</xdr:row>
          <xdr:rowOff>9525</xdr:rowOff>
        </xdr:from>
        <xdr:to>
          <xdr:col>3</xdr:col>
          <xdr:colOff>638175</xdr:colOff>
          <xdr:row>5</xdr:row>
          <xdr:rowOff>219075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選択</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571500</xdr:colOff>
      <xdr:row>3</xdr:row>
      <xdr:rowOff>180975</xdr:rowOff>
    </xdr:from>
    <xdr:to>
      <xdr:col>11</xdr:col>
      <xdr:colOff>428625</xdr:colOff>
      <xdr:row>15</xdr:row>
      <xdr:rowOff>152400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191625" y="895350"/>
          <a:ext cx="4657725" cy="282892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kumimoji="1" lang="ja-JP" altLang="en-US" sz="1100">
              <a:latin typeface="メイリオ" panose="020B0604030504040204" pitchFamily="50" charset="-128"/>
              <a:ea typeface="メイリオ" panose="020B0604030504040204" pitchFamily="50" charset="-128"/>
            </a:rPr>
            <a:t>＜</a:t>
          </a:r>
          <a:r>
            <a:rPr kumimoji="1" lang="en-US" altLang="ja-JP" sz="1100">
              <a:latin typeface="メイリオ" panose="020B0604030504040204" pitchFamily="50" charset="-128"/>
              <a:ea typeface="メイリオ" panose="020B0604030504040204" pitchFamily="50" charset="-128"/>
            </a:rPr>
            <a:t>ID</a:t>
          </a:r>
          <a:r>
            <a:rPr kumimoji="1" lang="ja-JP" altLang="en-US" sz="1100">
              <a:latin typeface="メイリオ" panose="020B0604030504040204" pitchFamily="50" charset="-128"/>
              <a:ea typeface="メイリオ" panose="020B0604030504040204" pitchFamily="50" charset="-128"/>
            </a:rPr>
            <a:t>作成ルール＞</a:t>
          </a:r>
          <a:endParaRPr kumimoji="1" lang="en-US" altLang="ja-JP" sz="1100">
            <a:latin typeface="メイリオ" panose="020B0604030504040204" pitchFamily="50" charset="-128"/>
            <a:ea typeface="メイリオ" panose="020B0604030504040204" pitchFamily="50" charset="-128"/>
          </a:endParaRPr>
        </a:p>
        <a:p>
          <a:r>
            <a:rPr kumimoji="1" lang="en-US" altLang="ja-JP" sz="1100">
              <a:latin typeface="メイリオ" panose="020B0604030504040204" pitchFamily="50" charset="-128"/>
              <a:ea typeface="メイリオ" panose="020B0604030504040204" pitchFamily="50" charset="-128"/>
            </a:rPr>
            <a:t>ID_G5nnn</a:t>
          </a:r>
          <a:r>
            <a:rPr kumimoji="1" lang="ja-JP" altLang="en-US" sz="1100">
              <a:latin typeface="メイリオ" panose="020B0604030504040204" pitchFamily="50" charset="-128"/>
              <a:ea typeface="メイリオ" panose="020B0604030504040204" pitchFamily="50" charset="-128"/>
            </a:rPr>
            <a:t>：</a:t>
          </a:r>
          <a:r>
            <a:rPr kumimoji="1" lang="en-US" altLang="ja-JP" sz="1100">
              <a:latin typeface="メイリオ" panose="020B0604030504040204" pitchFamily="50" charset="-128"/>
              <a:ea typeface="メイリオ" panose="020B0604030504040204" pitchFamily="50" charset="-128"/>
            </a:rPr>
            <a:t>GUI</a:t>
          </a:r>
          <a:r>
            <a:rPr kumimoji="1" lang="ja-JP" altLang="en-US" sz="1100">
              <a:latin typeface="メイリオ" panose="020B0604030504040204" pitchFamily="50" charset="-128"/>
              <a:ea typeface="メイリオ" panose="020B0604030504040204" pitchFamily="50" charset="-128"/>
            </a:rPr>
            <a:t>パーツ用</a:t>
          </a:r>
          <a:br>
            <a:rPr kumimoji="1" lang="en-US" altLang="ja-JP" sz="1100">
              <a:latin typeface="メイリオ" panose="020B0604030504040204" pitchFamily="50" charset="-128"/>
              <a:ea typeface="メイリオ" panose="020B0604030504040204" pitchFamily="50" charset="-128"/>
            </a:rPr>
          </a:br>
          <a:r>
            <a:rPr kumimoji="1" lang="en-US" altLang="ja-JP" sz="1100">
              <a:solidFill>
                <a:schemeClr val="dk1"/>
              </a:solidFill>
              <a:effectLst/>
              <a:latin typeface="メイリオ" panose="020B0604030504040204" pitchFamily="50" charset="-128"/>
              <a:ea typeface="メイリオ" panose="020B0604030504040204" pitchFamily="50" charset="-128"/>
              <a:cs typeface="+mn-cs"/>
            </a:rPr>
            <a:t>ID_E3nnnn</a:t>
          </a:r>
          <a:r>
            <a:rPr kumimoji="1" lang="ja-JP" altLang="ja-JP" sz="1100">
              <a:solidFill>
                <a:schemeClr val="dk1"/>
              </a:solidFill>
              <a:effectLst/>
              <a:latin typeface="メイリオ" panose="020B0604030504040204" pitchFamily="50" charset="-128"/>
              <a:ea typeface="メイリオ" panose="020B0604030504040204" pitchFamily="50" charset="-128"/>
              <a:cs typeface="+mn-cs"/>
            </a:rPr>
            <a:t>：エラーメッセージ</a:t>
          </a:r>
          <a:endParaRPr lang="ja-JP" altLang="ja-JP">
            <a:effectLst/>
            <a:latin typeface="メイリオ" panose="020B0604030504040204" pitchFamily="50" charset="-128"/>
            <a:ea typeface="メイリオ" panose="020B0604030504040204"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メイリオ" panose="020B0604030504040204" pitchFamily="50" charset="-128"/>
              <a:ea typeface="メイリオ" panose="020B0604030504040204" pitchFamily="50" charset="-128"/>
              <a:cs typeface="+mn-cs"/>
            </a:rPr>
            <a:t>ID_W2nnnn</a:t>
          </a:r>
          <a:r>
            <a:rPr kumimoji="1" lang="ja-JP" altLang="ja-JP" sz="1100">
              <a:solidFill>
                <a:schemeClr val="dk1"/>
              </a:solidFill>
              <a:effectLst/>
              <a:latin typeface="メイリオ" panose="020B0604030504040204" pitchFamily="50" charset="-128"/>
              <a:ea typeface="メイリオ" panose="020B0604030504040204" pitchFamily="50" charset="-128"/>
              <a:cs typeface="+mn-cs"/>
            </a:rPr>
            <a:t>：</a:t>
          </a:r>
          <a:r>
            <a:rPr kumimoji="1" lang="ja-JP" altLang="en-US" sz="1100">
              <a:solidFill>
                <a:schemeClr val="dk1"/>
              </a:solidFill>
              <a:effectLst/>
              <a:latin typeface="メイリオ" panose="020B0604030504040204" pitchFamily="50" charset="-128"/>
              <a:ea typeface="メイリオ" panose="020B0604030504040204" pitchFamily="50" charset="-128"/>
              <a:cs typeface="+mn-cs"/>
            </a:rPr>
            <a:t>警告</a:t>
          </a:r>
          <a:r>
            <a:rPr kumimoji="1" lang="ja-JP" altLang="ja-JP" sz="1100">
              <a:solidFill>
                <a:schemeClr val="dk1"/>
              </a:solidFill>
              <a:effectLst/>
              <a:latin typeface="メイリオ" panose="020B0604030504040204" pitchFamily="50" charset="-128"/>
              <a:ea typeface="メイリオ" panose="020B0604030504040204" pitchFamily="50" charset="-128"/>
              <a:cs typeface="+mn-cs"/>
            </a:rPr>
            <a:t>メッセージ</a:t>
          </a:r>
          <a:endParaRPr lang="ja-JP" altLang="ja-JP">
            <a:effectLst/>
            <a:latin typeface="メイリオ" panose="020B0604030504040204" pitchFamily="50" charset="-128"/>
            <a:ea typeface="メイリオ" panose="020B0604030504040204" pitchFamily="50" charset="-128"/>
          </a:endParaRPr>
        </a:p>
        <a:p>
          <a:r>
            <a:rPr kumimoji="1" lang="en-US" altLang="ja-JP" sz="1100">
              <a:latin typeface="メイリオ" panose="020B0604030504040204" pitchFamily="50" charset="-128"/>
              <a:ea typeface="メイリオ" panose="020B0604030504040204" pitchFamily="50" charset="-128"/>
            </a:rPr>
            <a:t>ID_M1nnnn</a:t>
          </a:r>
          <a:r>
            <a:rPr kumimoji="1" lang="ja-JP" altLang="en-US" sz="1100">
              <a:latin typeface="メイリオ" panose="020B0604030504040204" pitchFamily="50" charset="-128"/>
              <a:ea typeface="メイリオ" panose="020B0604030504040204" pitchFamily="50" charset="-128"/>
            </a:rPr>
            <a:t>：通常メッセージ</a:t>
          </a:r>
          <a:endParaRPr kumimoji="1" lang="en-US" altLang="ja-JP" sz="1100">
            <a:latin typeface="メイリオ" panose="020B0604030504040204" pitchFamily="50" charset="-128"/>
            <a:ea typeface="メイリオ" panose="020B0604030504040204" pitchFamily="50" charset="-128"/>
          </a:endParaRPr>
        </a:p>
        <a:p>
          <a:r>
            <a:rPr kumimoji="1" lang="en-US" altLang="ja-JP" sz="1100">
              <a:latin typeface="メイリオ" panose="020B0604030504040204" pitchFamily="50" charset="-128"/>
              <a:ea typeface="メイリオ" panose="020B0604030504040204" pitchFamily="50" charset="-128"/>
            </a:rPr>
            <a:t>ID_D0nnnn</a:t>
          </a:r>
          <a:r>
            <a:rPr kumimoji="1" lang="ja-JP" altLang="en-US" sz="1100">
              <a:latin typeface="メイリオ" panose="020B0604030504040204" pitchFamily="50" charset="-128"/>
              <a:ea typeface="メイリオ" panose="020B0604030504040204" pitchFamily="50" charset="-128"/>
            </a:rPr>
            <a:t>：デバッグメッセージ</a:t>
          </a:r>
          <a:endParaRPr kumimoji="1" lang="en-US" altLang="ja-JP" sz="1100">
            <a:latin typeface="メイリオ" panose="020B0604030504040204" pitchFamily="50" charset="-128"/>
            <a:ea typeface="メイリオ" panose="020B0604030504040204" pitchFamily="50" charset="-128"/>
          </a:endParaRPr>
        </a:p>
        <a:p>
          <a:endParaRPr kumimoji="1" lang="en-US" altLang="ja-JP" sz="1100">
            <a:latin typeface="メイリオ" panose="020B0604030504040204" pitchFamily="50" charset="-128"/>
            <a:ea typeface="メイリオ" panose="020B0604030504040204" pitchFamily="50" charset="-128"/>
          </a:endParaRPr>
        </a:p>
        <a:p>
          <a:r>
            <a:rPr kumimoji="1" lang="ja-JP" altLang="en-US" sz="1100">
              <a:latin typeface="メイリオ" panose="020B0604030504040204" pitchFamily="50" charset="-128"/>
              <a:ea typeface="メイリオ" panose="020B0604030504040204" pitchFamily="50" charset="-128"/>
            </a:rPr>
            <a:t>エラーコードは</a:t>
          </a:r>
          <a:r>
            <a:rPr kumimoji="1" lang="en-US" altLang="ja-JP" sz="1100">
              <a:latin typeface="メイリオ" panose="020B0604030504040204" pitchFamily="50" charset="-128"/>
              <a:ea typeface="メイリオ" panose="020B0604030504040204" pitchFamily="50" charset="-128"/>
            </a:rPr>
            <a:t>ID</a:t>
          </a:r>
          <a:r>
            <a:rPr kumimoji="1" lang="ja-JP" altLang="en-US" sz="1100">
              <a:latin typeface="メイリオ" panose="020B0604030504040204" pitchFamily="50" charset="-128"/>
              <a:ea typeface="メイリオ" panose="020B0604030504040204" pitchFamily="50" charset="-128"/>
            </a:rPr>
            <a:t>を指定</a:t>
          </a:r>
          <a:endParaRPr kumimoji="1" lang="en-US" altLang="ja-JP" sz="1100">
            <a:latin typeface="メイリオ" panose="020B0604030504040204" pitchFamily="50" charset="-128"/>
            <a:ea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1</xdr:row>
          <xdr:rowOff>152400</xdr:rowOff>
        </xdr:from>
        <xdr:to>
          <xdr:col>2</xdr:col>
          <xdr:colOff>2028825</xdr:colOff>
          <xdr:row>1</xdr:row>
          <xdr:rowOff>800100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Select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638175</xdr:colOff>
          <xdr:row>1</xdr:row>
          <xdr:rowOff>152400</xdr:rowOff>
        </xdr:from>
        <xdr:to>
          <xdr:col>3</xdr:col>
          <xdr:colOff>2076450</xdr:colOff>
          <xdr:row>1</xdr:row>
          <xdr:rowOff>800100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メイリオ"/>
                  <a:ea typeface="メイリオ"/>
                </a:rPr>
                <a:t>フォルダを選択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C100C-28CF-4C57-951B-8184D4BFFD3A}">
  <sheetPr codeName="Sheet3"/>
  <dimension ref="A1:K110"/>
  <sheetViews>
    <sheetView showGridLines="0" zoomScaleNormal="100" workbookViewId="0">
      <selection activeCell="C18" sqref="C18"/>
    </sheetView>
  </sheetViews>
  <sheetFormatPr defaultRowHeight="18.75"/>
  <cols>
    <col min="1" max="1" width="4.875" style="29" customWidth="1"/>
    <col min="2" max="2" width="3.625" style="29" customWidth="1"/>
    <col min="3" max="3" width="3.875" style="29" customWidth="1"/>
    <col min="4" max="4" width="23" style="29" customWidth="1"/>
    <col min="5" max="5" width="20.125" style="29" customWidth="1"/>
    <col min="6" max="6" width="11.25" style="29" customWidth="1"/>
    <col min="7" max="7" width="10" style="29" customWidth="1"/>
    <col min="8" max="8" width="17.875" style="29" customWidth="1"/>
    <col min="9" max="9" width="37" style="29" customWidth="1"/>
    <col min="10" max="10" width="9" style="29"/>
    <col min="11" max="11" width="10.875" style="29" customWidth="1"/>
    <col min="12" max="16384" width="9" style="29"/>
  </cols>
  <sheetData>
    <row r="1" spans="1:3" ht="24.75">
      <c r="A1" s="18" t="s">
        <v>330</v>
      </c>
    </row>
    <row r="3" spans="1:3">
      <c r="B3" s="29" t="s">
        <v>329</v>
      </c>
    </row>
    <row r="4" spans="1:3">
      <c r="B4" s="29" t="s">
        <v>309</v>
      </c>
    </row>
    <row r="5" spans="1:3">
      <c r="B5" s="29" t="s">
        <v>307</v>
      </c>
    </row>
    <row r="6" spans="1:3">
      <c r="B6" s="29" t="s">
        <v>308</v>
      </c>
    </row>
    <row r="7" spans="1:3">
      <c r="B7" s="29" t="s">
        <v>199</v>
      </c>
    </row>
    <row r="8" spans="1:3">
      <c r="B8" s="29" t="s">
        <v>200</v>
      </c>
    </row>
    <row r="10" spans="1:3">
      <c r="B10" s="29" t="s">
        <v>201</v>
      </c>
    </row>
    <row r="11" spans="1:3">
      <c r="C11" s="31" t="s">
        <v>202</v>
      </c>
    </row>
    <row r="12" spans="1:3">
      <c r="C12" s="31" t="s">
        <v>203</v>
      </c>
    </row>
    <row r="14" spans="1:3">
      <c r="B14" s="32" t="s">
        <v>204</v>
      </c>
    </row>
    <row r="15" spans="1:3">
      <c r="B15" s="32"/>
      <c r="C15" s="19" t="s">
        <v>205</v>
      </c>
    </row>
    <row r="16" spans="1:3">
      <c r="C16" s="29" t="s">
        <v>206</v>
      </c>
    </row>
    <row r="18" spans="2:11" ht="37.5">
      <c r="C18" s="33" t="s">
        <v>89</v>
      </c>
      <c r="D18" s="49" t="s">
        <v>207</v>
      </c>
      <c r="E18" s="53"/>
      <c r="F18" s="52"/>
      <c r="G18" s="34" t="s">
        <v>208</v>
      </c>
      <c r="H18" s="49" t="s">
        <v>209</v>
      </c>
      <c r="I18" s="52"/>
      <c r="J18" s="48"/>
      <c r="K18" s="34" t="s">
        <v>210</v>
      </c>
    </row>
    <row r="19" spans="2:11" ht="39" customHeight="1">
      <c r="C19" s="35">
        <v>1</v>
      </c>
      <c r="D19" s="54" t="s">
        <v>211</v>
      </c>
      <c r="E19" s="51" t="s">
        <v>211</v>
      </c>
      <c r="F19" s="52"/>
      <c r="G19" s="35" t="s">
        <v>212</v>
      </c>
      <c r="H19" s="51" t="s">
        <v>213</v>
      </c>
      <c r="I19" s="52"/>
      <c r="J19" s="48"/>
      <c r="K19" s="35" t="s">
        <v>97</v>
      </c>
    </row>
    <row r="20" spans="2:11" ht="36.75" customHeight="1">
      <c r="C20" s="35">
        <v>2</v>
      </c>
      <c r="D20" s="56"/>
      <c r="E20" s="51" t="s">
        <v>214</v>
      </c>
      <c r="F20" s="52"/>
      <c r="G20" s="35" t="s">
        <v>215</v>
      </c>
      <c r="H20" s="51" t="s">
        <v>310</v>
      </c>
      <c r="I20" s="52"/>
      <c r="J20" s="48"/>
      <c r="K20" s="35" t="s">
        <v>101</v>
      </c>
    </row>
    <row r="21" spans="2:11" ht="37.5" customHeight="1">
      <c r="C21" s="35">
        <v>3</v>
      </c>
      <c r="D21" s="36" t="s">
        <v>216</v>
      </c>
      <c r="E21" s="51" t="s">
        <v>217</v>
      </c>
      <c r="F21" s="52"/>
      <c r="G21" s="35" t="s">
        <v>215</v>
      </c>
      <c r="H21" s="51" t="s">
        <v>310</v>
      </c>
      <c r="I21" s="52"/>
      <c r="J21" s="48"/>
      <c r="K21" s="35" t="s">
        <v>103</v>
      </c>
    </row>
    <row r="22" spans="2:11" ht="33" customHeight="1">
      <c r="C22" s="35">
        <v>4</v>
      </c>
      <c r="D22" s="54" t="s">
        <v>218</v>
      </c>
      <c r="E22" s="51" t="s">
        <v>219</v>
      </c>
      <c r="F22" s="52"/>
      <c r="G22" s="35" t="s">
        <v>212</v>
      </c>
      <c r="H22" s="51" t="s">
        <v>220</v>
      </c>
      <c r="I22" s="52"/>
      <c r="J22" s="48"/>
      <c r="K22" s="35" t="s">
        <v>107</v>
      </c>
    </row>
    <row r="23" spans="2:11" ht="41.25" customHeight="1">
      <c r="C23" s="35">
        <v>5</v>
      </c>
      <c r="D23" s="56"/>
      <c r="E23" s="51" t="s">
        <v>221</v>
      </c>
      <c r="F23" s="52"/>
      <c r="G23" s="35" t="s">
        <v>212</v>
      </c>
      <c r="H23" s="51" t="s">
        <v>222</v>
      </c>
      <c r="I23" s="52"/>
      <c r="J23" s="48"/>
      <c r="K23" s="35" t="s">
        <v>110</v>
      </c>
    </row>
    <row r="24" spans="2:11" ht="37.5" customHeight="1">
      <c r="C24" s="35">
        <v>6</v>
      </c>
      <c r="D24" s="54" t="s">
        <v>223</v>
      </c>
      <c r="E24" s="51" t="s">
        <v>224</v>
      </c>
      <c r="F24" s="52"/>
      <c r="G24" s="35" t="s">
        <v>212</v>
      </c>
      <c r="H24" s="51" t="s">
        <v>225</v>
      </c>
      <c r="I24" s="52"/>
      <c r="J24" s="48"/>
      <c r="K24" s="35" t="s">
        <v>114</v>
      </c>
    </row>
    <row r="25" spans="2:11" ht="33.75" customHeight="1">
      <c r="C25" s="35">
        <v>7</v>
      </c>
      <c r="D25" s="55"/>
      <c r="E25" s="51" t="s">
        <v>226</v>
      </c>
      <c r="F25" s="52"/>
      <c r="G25" s="35" t="s">
        <v>212</v>
      </c>
      <c r="H25" s="51" t="s">
        <v>227</v>
      </c>
      <c r="I25" s="52"/>
      <c r="J25" s="48"/>
      <c r="K25" s="35" t="s">
        <v>117</v>
      </c>
    </row>
    <row r="26" spans="2:11" ht="34.5" customHeight="1">
      <c r="C26" s="35">
        <v>8</v>
      </c>
      <c r="D26" s="56"/>
      <c r="E26" s="51" t="s">
        <v>228</v>
      </c>
      <c r="F26" s="52"/>
      <c r="G26" s="35" t="s">
        <v>212</v>
      </c>
      <c r="H26" s="51" t="s">
        <v>229</v>
      </c>
      <c r="I26" s="52"/>
      <c r="J26" s="48"/>
      <c r="K26" s="35" t="s">
        <v>120</v>
      </c>
    </row>
    <row r="27" spans="2:11" ht="33" customHeight="1">
      <c r="C27" s="35">
        <v>9</v>
      </c>
      <c r="D27" s="36" t="s">
        <v>230</v>
      </c>
      <c r="E27" s="51" t="s">
        <v>310</v>
      </c>
      <c r="F27" s="52"/>
      <c r="G27" s="35" t="s">
        <v>212</v>
      </c>
      <c r="H27" s="51" t="s">
        <v>231</v>
      </c>
      <c r="I27" s="52"/>
      <c r="J27" s="48"/>
      <c r="K27" s="35">
        <v>1.5</v>
      </c>
    </row>
    <row r="29" spans="2:11">
      <c r="B29" s="32" t="s">
        <v>232</v>
      </c>
    </row>
    <row r="30" spans="2:11">
      <c r="B30" s="32" t="s">
        <v>233</v>
      </c>
    </row>
    <row r="31" spans="2:11">
      <c r="C31" s="29" t="s">
        <v>234</v>
      </c>
    </row>
    <row r="32" spans="2:11">
      <c r="D32" s="29" t="s">
        <v>235</v>
      </c>
    </row>
    <row r="33" spans="1:7">
      <c r="D33" s="29" t="s">
        <v>127</v>
      </c>
    </row>
    <row r="34" spans="1:7">
      <c r="C34" s="29" t="s">
        <v>236</v>
      </c>
    </row>
    <row r="35" spans="1:7">
      <c r="A35" s="45"/>
      <c r="B35" s="45"/>
      <c r="C35" s="37" t="s">
        <v>89</v>
      </c>
      <c r="D35" s="38" t="s">
        <v>237</v>
      </c>
      <c r="E35" s="49" t="s">
        <v>209</v>
      </c>
      <c r="F35" s="50"/>
      <c r="G35" s="50"/>
    </row>
    <row r="36" spans="1:7" ht="38.25" customHeight="1">
      <c r="A36" s="45"/>
      <c r="B36" s="45"/>
      <c r="C36" s="39">
        <v>1</v>
      </c>
      <c r="D36" s="40" t="s">
        <v>238</v>
      </c>
      <c r="E36" s="51" t="s">
        <v>301</v>
      </c>
      <c r="F36" s="50"/>
      <c r="G36" s="50"/>
    </row>
    <row r="37" spans="1:7">
      <c r="A37" s="45"/>
      <c r="B37" s="45"/>
      <c r="C37" s="39">
        <v>2</v>
      </c>
      <c r="D37" s="40" t="s">
        <v>239</v>
      </c>
      <c r="E37" s="51" t="s">
        <v>240</v>
      </c>
      <c r="F37" s="50"/>
      <c r="G37" s="50"/>
    </row>
    <row r="38" spans="1:7">
      <c r="A38" s="45"/>
      <c r="B38" s="45"/>
      <c r="C38" s="39">
        <v>3</v>
      </c>
      <c r="D38" s="40" t="s">
        <v>241</v>
      </c>
      <c r="E38" s="51" t="s">
        <v>242</v>
      </c>
      <c r="F38" s="50"/>
      <c r="G38" s="50"/>
    </row>
    <row r="39" spans="1:7">
      <c r="A39" s="45"/>
      <c r="B39" s="45"/>
      <c r="C39" s="39">
        <v>4</v>
      </c>
      <c r="D39" s="40" t="s">
        <v>243</v>
      </c>
      <c r="E39" s="51" t="s">
        <v>244</v>
      </c>
      <c r="F39" s="50"/>
      <c r="G39" s="50"/>
    </row>
    <row r="40" spans="1:7">
      <c r="C40" s="41" t="s">
        <v>325</v>
      </c>
    </row>
    <row r="41" spans="1:7">
      <c r="B41" s="32" t="s">
        <v>245</v>
      </c>
    </row>
    <row r="42" spans="1:7">
      <c r="C42" s="29" t="s">
        <v>316</v>
      </c>
    </row>
    <row r="44" spans="1:7">
      <c r="B44" s="32" t="s">
        <v>246</v>
      </c>
    </row>
    <row r="45" spans="1:7">
      <c r="B45" s="32" t="s">
        <v>247</v>
      </c>
    </row>
    <row r="46" spans="1:7">
      <c r="C46" s="29" t="s">
        <v>248</v>
      </c>
    </row>
    <row r="47" spans="1:7">
      <c r="C47" s="29" t="s">
        <v>249</v>
      </c>
    </row>
    <row r="48" spans="1:7">
      <c r="C48" s="29" t="s">
        <v>250</v>
      </c>
    </row>
    <row r="50" spans="2:5">
      <c r="B50" s="32" t="s">
        <v>251</v>
      </c>
    </row>
    <row r="51" spans="2:5">
      <c r="B51" s="32" t="s">
        <v>252</v>
      </c>
    </row>
    <row r="52" spans="2:5">
      <c r="C52" s="29" t="s">
        <v>297</v>
      </c>
    </row>
    <row r="53" spans="2:5">
      <c r="C53" s="29" t="s">
        <v>253</v>
      </c>
    </row>
    <row r="54" spans="2:5">
      <c r="B54" s="32" t="s">
        <v>254</v>
      </c>
    </row>
    <row r="55" spans="2:5">
      <c r="C55" s="29" t="s">
        <v>298</v>
      </c>
    </row>
    <row r="56" spans="2:5">
      <c r="C56" s="29" t="s">
        <v>255</v>
      </c>
    </row>
    <row r="58" spans="2:5">
      <c r="B58" s="32" t="s">
        <v>256</v>
      </c>
    </row>
    <row r="59" spans="2:5">
      <c r="B59" s="32" t="s">
        <v>311</v>
      </c>
    </row>
    <row r="60" spans="2:5">
      <c r="C60" s="29" t="s">
        <v>314</v>
      </c>
    </row>
    <row r="61" spans="2:5">
      <c r="B61" s="32" t="s">
        <v>257</v>
      </c>
    </row>
    <row r="62" spans="2:5">
      <c r="C62" s="29" t="s">
        <v>299</v>
      </c>
    </row>
    <row r="63" spans="2:5">
      <c r="C63" s="29" t="s">
        <v>258</v>
      </c>
    </row>
    <row r="64" spans="2:5">
      <c r="C64" s="37" t="s">
        <v>89</v>
      </c>
      <c r="D64" s="38" t="s">
        <v>259</v>
      </c>
      <c r="E64" s="38" t="s">
        <v>260</v>
      </c>
    </row>
    <row r="65" spans="2:8">
      <c r="C65" s="39">
        <v>1</v>
      </c>
      <c r="D65" s="42" t="s">
        <v>261</v>
      </c>
      <c r="E65" s="39">
        <v>1</v>
      </c>
    </row>
    <row r="66" spans="2:8">
      <c r="C66" s="39">
        <v>2</v>
      </c>
      <c r="D66" s="42" t="s">
        <v>262</v>
      </c>
      <c r="E66" s="39">
        <v>2</v>
      </c>
    </row>
    <row r="67" spans="2:8">
      <c r="C67" s="39">
        <v>3</v>
      </c>
      <c r="D67" s="42" t="s">
        <v>263</v>
      </c>
      <c r="E67" s="39">
        <v>3</v>
      </c>
    </row>
    <row r="68" spans="2:8">
      <c r="B68" s="32" t="s">
        <v>264</v>
      </c>
    </row>
    <row r="69" spans="2:8">
      <c r="C69" s="29" t="s">
        <v>315</v>
      </c>
    </row>
    <row r="70" spans="2:8">
      <c r="C70" s="29" t="s">
        <v>258</v>
      </c>
    </row>
    <row r="71" spans="2:8">
      <c r="C71" s="37" t="s">
        <v>89</v>
      </c>
      <c r="D71" s="38" t="s">
        <v>259</v>
      </c>
      <c r="E71" s="38" t="s">
        <v>260</v>
      </c>
    </row>
    <row r="72" spans="2:8">
      <c r="C72" s="39">
        <v>1</v>
      </c>
      <c r="D72" s="42" t="s">
        <v>261</v>
      </c>
      <c r="E72" s="39">
        <v>1</v>
      </c>
    </row>
    <row r="73" spans="2:8">
      <c r="C73" s="39">
        <v>2</v>
      </c>
      <c r="D73" s="42" t="s">
        <v>262</v>
      </c>
      <c r="E73" s="39">
        <v>2</v>
      </c>
    </row>
    <row r="74" spans="2:8">
      <c r="C74" s="39">
        <v>3</v>
      </c>
      <c r="D74" s="42" t="s">
        <v>263</v>
      </c>
      <c r="E74" s="39">
        <v>3</v>
      </c>
    </row>
    <row r="75" spans="2:8">
      <c r="C75" s="43"/>
      <c r="D75" s="43"/>
      <c r="E75" s="43"/>
    </row>
    <row r="76" spans="2:8">
      <c r="B76" s="32" t="s">
        <v>265</v>
      </c>
    </row>
    <row r="77" spans="2:8">
      <c r="C77" s="29" t="s">
        <v>300</v>
      </c>
    </row>
    <row r="78" spans="2:8">
      <c r="C78" s="29" t="s">
        <v>266</v>
      </c>
    </row>
    <row r="79" spans="2:8">
      <c r="C79" s="37" t="s">
        <v>89</v>
      </c>
      <c r="D79" s="38" t="s">
        <v>267</v>
      </c>
      <c r="E79" s="49" t="s">
        <v>209</v>
      </c>
      <c r="F79" s="53"/>
      <c r="G79" s="53"/>
      <c r="H79" s="53"/>
    </row>
    <row r="80" spans="2:8" ht="27.75" customHeight="1">
      <c r="C80" s="39">
        <v>1</v>
      </c>
      <c r="D80" s="40" t="s">
        <v>165</v>
      </c>
      <c r="E80" s="47" t="s">
        <v>268</v>
      </c>
      <c r="F80" s="48"/>
      <c r="G80" s="48"/>
      <c r="H80" s="48"/>
    </row>
    <row r="81" spans="2:8" ht="70.5" customHeight="1">
      <c r="C81" s="39">
        <v>2</v>
      </c>
      <c r="D81" s="40" t="s">
        <v>167</v>
      </c>
      <c r="E81" s="47" t="s">
        <v>269</v>
      </c>
      <c r="F81" s="48"/>
      <c r="G81" s="48"/>
      <c r="H81" s="48"/>
    </row>
    <row r="82" spans="2:8" ht="56.25" customHeight="1">
      <c r="C82" s="39">
        <v>3</v>
      </c>
      <c r="D82" s="40" t="s">
        <v>169</v>
      </c>
      <c r="E82" s="47" t="s">
        <v>270</v>
      </c>
      <c r="F82" s="48"/>
      <c r="G82" s="48"/>
      <c r="H82" s="48"/>
    </row>
    <row r="83" spans="2:8" ht="49.5" customHeight="1">
      <c r="C83" s="39">
        <v>4</v>
      </c>
      <c r="D83" s="40" t="s">
        <v>171</v>
      </c>
      <c r="E83" s="47" t="s">
        <v>271</v>
      </c>
      <c r="F83" s="48"/>
      <c r="G83" s="48"/>
      <c r="H83" s="48"/>
    </row>
    <row r="84" spans="2:8" ht="50.25" customHeight="1">
      <c r="C84" s="39">
        <v>5</v>
      </c>
      <c r="D84" s="40" t="s">
        <v>173</v>
      </c>
      <c r="E84" s="47" t="s">
        <v>272</v>
      </c>
      <c r="F84" s="48"/>
      <c r="G84" s="48"/>
      <c r="H84" s="48"/>
    </row>
    <row r="85" spans="2:8">
      <c r="C85" s="29" t="s">
        <v>273</v>
      </c>
    </row>
    <row r="87" spans="2:8">
      <c r="B87" s="32" t="s">
        <v>274</v>
      </c>
    </row>
    <row r="88" spans="2:8">
      <c r="B88" s="32"/>
      <c r="C88" s="29" t="s">
        <v>275</v>
      </c>
    </row>
    <row r="89" spans="2:8">
      <c r="B89" s="32" t="s">
        <v>276</v>
      </c>
    </row>
    <row r="90" spans="2:8">
      <c r="C90" s="29" t="s">
        <v>277</v>
      </c>
    </row>
    <row r="91" spans="2:8">
      <c r="C91" s="29" t="s">
        <v>278</v>
      </c>
    </row>
    <row r="92" spans="2:8">
      <c r="D92" s="29" t="s">
        <v>279</v>
      </c>
    </row>
    <row r="93" spans="2:8">
      <c r="D93" s="29" t="s">
        <v>295</v>
      </c>
    </row>
    <row r="94" spans="2:8">
      <c r="D94" s="29" t="s">
        <v>296</v>
      </c>
    </row>
    <row r="95" spans="2:8">
      <c r="B95" s="32" t="s">
        <v>280</v>
      </c>
    </row>
    <row r="96" spans="2:8">
      <c r="C96" s="29" t="s">
        <v>281</v>
      </c>
    </row>
    <row r="97" spans="2:4">
      <c r="C97" s="29" t="s">
        <v>282</v>
      </c>
    </row>
    <row r="98" spans="2:4">
      <c r="D98" s="29" t="s">
        <v>283</v>
      </c>
    </row>
    <row r="99" spans="2:4">
      <c r="B99" s="32" t="s">
        <v>284</v>
      </c>
    </row>
    <row r="100" spans="2:4">
      <c r="C100" s="29" t="s">
        <v>285</v>
      </c>
    </row>
    <row r="101" spans="2:4">
      <c r="C101" s="44" t="s">
        <v>286</v>
      </c>
    </row>
    <row r="102" spans="2:4">
      <c r="C102" s="29" t="s">
        <v>287</v>
      </c>
    </row>
    <row r="103" spans="2:4">
      <c r="C103" s="44" t="s">
        <v>288</v>
      </c>
    </row>
    <row r="104" spans="2:4">
      <c r="C104" s="29" t="s">
        <v>289</v>
      </c>
    </row>
    <row r="105" spans="2:4">
      <c r="C105" s="44" t="s">
        <v>290</v>
      </c>
    </row>
    <row r="106" spans="2:4">
      <c r="C106" s="29" t="s">
        <v>291</v>
      </c>
    </row>
    <row r="107" spans="2:4">
      <c r="C107" s="44" t="s">
        <v>292</v>
      </c>
    </row>
    <row r="108" spans="2:4">
      <c r="C108" s="29" t="s">
        <v>293</v>
      </c>
    </row>
    <row r="110" spans="2:4">
      <c r="B110" s="32" t="s">
        <v>294</v>
      </c>
    </row>
  </sheetData>
  <mergeCells count="34">
    <mergeCell ref="D18:F18"/>
    <mergeCell ref="H18:J18"/>
    <mergeCell ref="D19:D20"/>
    <mergeCell ref="E19:F19"/>
    <mergeCell ref="H19:J19"/>
    <mergeCell ref="E20:F20"/>
    <mergeCell ref="H20:J20"/>
    <mergeCell ref="E21:F21"/>
    <mergeCell ref="H21:J21"/>
    <mergeCell ref="D22:D23"/>
    <mergeCell ref="E22:F22"/>
    <mergeCell ref="H22:J22"/>
    <mergeCell ref="E23:F23"/>
    <mergeCell ref="H23:J23"/>
    <mergeCell ref="D24:D26"/>
    <mergeCell ref="E24:F24"/>
    <mergeCell ref="H24:J24"/>
    <mergeCell ref="E25:F25"/>
    <mergeCell ref="H25:J25"/>
    <mergeCell ref="E26:F26"/>
    <mergeCell ref="H26:J26"/>
    <mergeCell ref="E27:F27"/>
    <mergeCell ref="H27:J27"/>
    <mergeCell ref="E79:H79"/>
    <mergeCell ref="E80:H80"/>
    <mergeCell ref="E81:H81"/>
    <mergeCell ref="E83:H83"/>
    <mergeCell ref="E84:H84"/>
    <mergeCell ref="E35:G35"/>
    <mergeCell ref="E36:G36"/>
    <mergeCell ref="E37:G37"/>
    <mergeCell ref="E38:G38"/>
    <mergeCell ref="E39:G39"/>
    <mergeCell ref="E82:H82"/>
  </mergeCells>
  <phoneticPr fontId="2"/>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5535-DB51-413C-95BB-9E68BCA9460B}">
  <sheetPr codeName="Sheet2"/>
  <dimension ref="A1:C22"/>
  <sheetViews>
    <sheetView showGridLines="0" zoomScaleNormal="100" workbookViewId="0">
      <selection activeCell="C3" sqref="C3"/>
    </sheetView>
  </sheetViews>
  <sheetFormatPr defaultRowHeight="18.75"/>
  <cols>
    <col min="1" max="1" width="3.5" customWidth="1"/>
    <col min="2" max="2" width="3.5" style="14" customWidth="1"/>
    <col min="3" max="3" width="50.625" style="9" customWidth="1"/>
  </cols>
  <sheetData>
    <row r="1" spans="1:3">
      <c r="A1" s="14"/>
    </row>
    <row r="2" spans="1:3" ht="19.5" thickBot="1">
      <c r="B2" s="1" t="s">
        <v>53</v>
      </c>
      <c r="C2"/>
    </row>
    <row r="3" spans="1:3" ht="19.5" thickBot="1">
      <c r="C3" s="8"/>
    </row>
    <row r="5" spans="1:3" ht="19.5" thickBot="1">
      <c r="B5" s="1" t="s">
        <v>54</v>
      </c>
      <c r="C5" s="5"/>
    </row>
    <row r="6" spans="1:3" ht="19.5" thickBot="1">
      <c r="C6" s="13"/>
    </row>
    <row r="10" spans="1:3" ht="19.5" thickBot="1">
      <c r="B10" s="1" t="s">
        <v>55</v>
      </c>
      <c r="C10" s="5"/>
    </row>
    <row r="11" spans="1:3" ht="78" customHeight="1" thickBot="1">
      <c r="C11" s="2" t="str">
        <f ca="1">IF(IFERROR(VLOOKUP(C3,INDIRECT("licenses!B:F"),4,0),"")&lt;&gt;"",VLOOKUP(C3,INDIRECT("licenses!B:F"),4,0),IF(IFERROR(VLOOKUP(C3,INDIRECT("licenses!C:F"),3,0),"")&lt;&gt;"",VLOOKUP(C3,INDIRECT("licenses!C:F"),3,0),""))</f>
        <v/>
      </c>
    </row>
    <row r="12" spans="1:3">
      <c r="C12" s="3" t="str">
        <f ca="1">IF(OR(IFERROR(VLOOKUP(C3,INDIRECT("licenses!B:D"),3,0),0)&lt;&gt;0,IFERROR(VLOOKUP(C3,INDIRECT("licenses!C:D"),2,0),0)&lt;&gt;0),"",IF(setting!C3&lt;&gt;"",setting!C3,""))</f>
        <v/>
      </c>
    </row>
    <row r="13" spans="1:3">
      <c r="C13" s="3"/>
    </row>
    <row r="14" spans="1:3">
      <c r="B14" s="1" t="s">
        <v>56</v>
      </c>
      <c r="C14" s="3"/>
    </row>
    <row r="15" spans="1:3">
      <c r="B15" s="11"/>
      <c r="C15" s="4" t="str">
        <f>"：" &amp; setting!C4</f>
        <v>：</v>
      </c>
    </row>
    <row r="16" spans="1:3">
      <c r="B16" s="10"/>
      <c r="C16" s="4" t="str">
        <f>"：" &amp; setting!C5</f>
        <v>：</v>
      </c>
    </row>
    <row r="17" spans="2:3">
      <c r="B17" s="12"/>
      <c r="C17" s="4" t="str">
        <f>"：" &amp; setting!C6</f>
        <v>：</v>
      </c>
    </row>
    <row r="19" spans="2:3">
      <c r="B19" s="1" t="s">
        <v>57</v>
      </c>
      <c r="C19" s="5"/>
    </row>
    <row r="22" spans="2:3">
      <c r="B22" s="15" t="s">
        <v>71</v>
      </c>
    </row>
  </sheetData>
  <sheetProtection sheet="1" objects="1" scenarios="1"/>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LicenseEN">
                <anchor moveWithCells="1">
                  <from>
                    <xdr:col>3</xdr:col>
                    <xdr:colOff>85725</xdr:colOff>
                    <xdr:row>2</xdr:row>
                    <xdr:rowOff>9525</xdr:rowOff>
                  </from>
                  <to>
                    <xdr:col>3</xdr:col>
                    <xdr:colOff>619125</xdr:colOff>
                    <xdr:row>2</xdr:row>
                    <xdr:rowOff>228600</xdr:rowOff>
                  </to>
                </anchor>
              </controlPr>
            </control>
          </mc:Choice>
        </mc:AlternateContent>
        <mc:AlternateContent xmlns:mc="http://schemas.openxmlformats.org/markup-compatibility/2006">
          <mc:Choice Requires="x14">
            <control shapeId="5122" r:id="rId5" name="Button 2">
              <controlPr defaultSize="0" print="0" autoFill="0" autoPict="0" macro="[0]!ShowPermissionsEN">
                <anchor moveWithCells="1">
                  <from>
                    <xdr:col>1</xdr:col>
                    <xdr:colOff>247650</xdr:colOff>
                    <xdr:row>7</xdr:row>
                    <xdr:rowOff>9525</xdr:rowOff>
                  </from>
                  <to>
                    <xdr:col>2</xdr:col>
                    <xdr:colOff>514350</xdr:colOff>
                    <xdr:row>7</xdr:row>
                    <xdr:rowOff>228600</xdr:rowOff>
                  </to>
                </anchor>
              </controlPr>
            </control>
          </mc:Choice>
        </mc:AlternateContent>
        <mc:AlternateContent xmlns:mc="http://schemas.openxmlformats.org/markup-compatibility/2006">
          <mc:Choice Requires="x14">
            <control shapeId="5123" r:id="rId6" name="Button 3">
              <controlPr defaultSize="0" print="0" autoFill="0" autoPict="0" macro="[0]!SelectUseCaseEN">
                <anchor moveWithCells="1">
                  <from>
                    <xdr:col>3</xdr:col>
                    <xdr:colOff>85725</xdr:colOff>
                    <xdr:row>5</xdr:row>
                    <xdr:rowOff>9525</xdr:rowOff>
                  </from>
                  <to>
                    <xdr:col>3</xdr:col>
                    <xdr:colOff>619125</xdr:colOff>
                    <xdr:row>5</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08D94-A7B2-4B65-8F76-4CDEF8E3CB4B}">
  <sheetPr codeName="Sheet4"/>
  <dimension ref="A1:K116"/>
  <sheetViews>
    <sheetView showGridLines="0" zoomScaleNormal="100" workbookViewId="0">
      <selection activeCell="C17" sqref="C17"/>
    </sheetView>
  </sheetViews>
  <sheetFormatPr defaultRowHeight="18.75"/>
  <cols>
    <col min="1" max="1" width="4.875" style="14" customWidth="1"/>
    <col min="2" max="2" width="3.625" style="14" customWidth="1"/>
    <col min="3" max="3" width="3.875" style="14" customWidth="1"/>
    <col min="4" max="4" width="21.125" style="14" customWidth="1"/>
    <col min="5" max="5" width="20.125" style="14" customWidth="1"/>
    <col min="6" max="6" width="9.875" style="14" customWidth="1"/>
    <col min="7" max="7" width="6.375" style="14" customWidth="1"/>
    <col min="8" max="8" width="17.875" style="14" customWidth="1"/>
    <col min="9" max="9" width="37" style="14" customWidth="1"/>
    <col min="10" max="16384" width="9" style="14"/>
  </cols>
  <sheetData>
    <row r="1" spans="1:3" ht="24.75">
      <c r="A1" s="18" t="s">
        <v>331</v>
      </c>
    </row>
    <row r="3" spans="1:3">
      <c r="B3" s="14" t="s">
        <v>332</v>
      </c>
    </row>
    <row r="4" spans="1:3">
      <c r="B4" s="14" t="s">
        <v>326</v>
      </c>
    </row>
    <row r="5" spans="1:3">
      <c r="B5" s="14" t="s">
        <v>327</v>
      </c>
    </row>
    <row r="6" spans="1:3">
      <c r="B6" s="14" t="s">
        <v>328</v>
      </c>
    </row>
    <row r="7" spans="1:3">
      <c r="B7" s="14" t="s">
        <v>322</v>
      </c>
    </row>
    <row r="9" spans="1:3">
      <c r="B9" s="14" t="s">
        <v>84</v>
      </c>
    </row>
    <row r="10" spans="1:3">
      <c r="C10" s="14" t="s">
        <v>85</v>
      </c>
    </row>
    <row r="11" spans="1:3">
      <c r="C11" s="14" t="s">
        <v>86</v>
      </c>
    </row>
    <row r="13" spans="1:3">
      <c r="B13" s="15" t="s">
        <v>87</v>
      </c>
    </row>
    <row r="14" spans="1:3">
      <c r="B14" s="15"/>
      <c r="C14" s="19" t="s">
        <v>88</v>
      </c>
    </row>
    <row r="15" spans="1:3">
      <c r="C15" s="14" t="s">
        <v>313</v>
      </c>
    </row>
    <row r="17" spans="2:11" ht="37.5">
      <c r="C17" s="20" t="s">
        <v>89</v>
      </c>
      <c r="D17" s="57" t="s">
        <v>312</v>
      </c>
      <c r="E17" s="58"/>
      <c r="F17" s="50"/>
      <c r="G17" s="21" t="s">
        <v>90</v>
      </c>
      <c r="H17" s="57" t="s">
        <v>91</v>
      </c>
      <c r="I17" s="50"/>
      <c r="J17" s="59"/>
      <c r="K17" s="21" t="s">
        <v>92</v>
      </c>
    </row>
    <row r="18" spans="2:11" ht="24.75" customHeight="1">
      <c r="C18" s="22">
        <v>1</v>
      </c>
      <c r="D18" s="60" t="s">
        <v>93</v>
      </c>
      <c r="E18" s="62" t="s">
        <v>94</v>
      </c>
      <c r="F18" s="50"/>
      <c r="G18" s="22" t="s">
        <v>95</v>
      </c>
      <c r="H18" s="62" t="s">
        <v>96</v>
      </c>
      <c r="I18" s="50"/>
      <c r="J18" s="59"/>
      <c r="K18" s="22" t="s">
        <v>97</v>
      </c>
    </row>
    <row r="19" spans="2:11" ht="22.5" customHeight="1">
      <c r="C19" s="22">
        <v>2</v>
      </c>
      <c r="D19" s="61"/>
      <c r="E19" s="62" t="s">
        <v>98</v>
      </c>
      <c r="F19" s="50"/>
      <c r="G19" s="22" t="s">
        <v>99</v>
      </c>
      <c r="H19" s="62" t="s">
        <v>100</v>
      </c>
      <c r="I19" s="50"/>
      <c r="J19" s="59"/>
      <c r="K19" s="22" t="s">
        <v>101</v>
      </c>
    </row>
    <row r="20" spans="2:11" ht="37.5" customHeight="1">
      <c r="C20" s="22">
        <v>3</v>
      </c>
      <c r="D20" s="23" t="s">
        <v>323</v>
      </c>
      <c r="E20" s="62" t="s">
        <v>102</v>
      </c>
      <c r="F20" s="50"/>
      <c r="G20" s="22" t="s">
        <v>99</v>
      </c>
      <c r="H20" s="62" t="s">
        <v>100</v>
      </c>
      <c r="I20" s="50"/>
      <c r="J20" s="59"/>
      <c r="K20" s="22" t="s">
        <v>103</v>
      </c>
    </row>
    <row r="21" spans="2:11" ht="24" customHeight="1">
      <c r="C21" s="22">
        <v>4</v>
      </c>
      <c r="D21" s="60" t="s">
        <v>104</v>
      </c>
      <c r="E21" s="62" t="s">
        <v>105</v>
      </c>
      <c r="F21" s="50"/>
      <c r="G21" s="22" t="s">
        <v>95</v>
      </c>
      <c r="H21" s="62" t="s">
        <v>106</v>
      </c>
      <c r="I21" s="50"/>
      <c r="J21" s="59"/>
      <c r="K21" s="22" t="s">
        <v>107</v>
      </c>
    </row>
    <row r="22" spans="2:11" ht="33" customHeight="1">
      <c r="C22" s="22">
        <v>5</v>
      </c>
      <c r="D22" s="61"/>
      <c r="E22" s="62" t="s">
        <v>108</v>
      </c>
      <c r="F22" s="50"/>
      <c r="G22" s="22" t="s">
        <v>95</v>
      </c>
      <c r="H22" s="62" t="s">
        <v>109</v>
      </c>
      <c r="I22" s="50"/>
      <c r="J22" s="59"/>
      <c r="K22" s="22" t="s">
        <v>110</v>
      </c>
    </row>
    <row r="23" spans="2:11" ht="21" customHeight="1">
      <c r="C23" s="22">
        <v>6</v>
      </c>
      <c r="D23" s="60" t="s">
        <v>111</v>
      </c>
      <c r="E23" s="62" t="s">
        <v>112</v>
      </c>
      <c r="F23" s="50"/>
      <c r="G23" s="22" t="s">
        <v>95</v>
      </c>
      <c r="H23" s="62" t="s">
        <v>113</v>
      </c>
      <c r="I23" s="50"/>
      <c r="J23" s="59"/>
      <c r="K23" s="22" t="s">
        <v>114</v>
      </c>
    </row>
    <row r="24" spans="2:11" ht="18" customHeight="1">
      <c r="C24" s="22">
        <v>7</v>
      </c>
      <c r="D24" s="63"/>
      <c r="E24" s="62" t="s">
        <v>115</v>
      </c>
      <c r="F24" s="50"/>
      <c r="G24" s="22" t="s">
        <v>95</v>
      </c>
      <c r="H24" s="62" t="s">
        <v>116</v>
      </c>
      <c r="I24" s="50"/>
      <c r="J24" s="59"/>
      <c r="K24" s="22" t="s">
        <v>117</v>
      </c>
    </row>
    <row r="25" spans="2:11" ht="18.75" customHeight="1">
      <c r="C25" s="22">
        <v>8</v>
      </c>
      <c r="D25" s="61"/>
      <c r="E25" s="62" t="s">
        <v>118</v>
      </c>
      <c r="F25" s="50"/>
      <c r="G25" s="22" t="s">
        <v>95</v>
      </c>
      <c r="H25" s="62" t="s">
        <v>119</v>
      </c>
      <c r="I25" s="50"/>
      <c r="J25" s="59"/>
      <c r="K25" s="22" t="s">
        <v>120</v>
      </c>
    </row>
    <row r="26" spans="2:11" ht="17.25" customHeight="1">
      <c r="C26" s="22">
        <v>9</v>
      </c>
      <c r="D26" s="23" t="s">
        <v>121</v>
      </c>
      <c r="E26" s="62" t="s">
        <v>100</v>
      </c>
      <c r="F26" s="50"/>
      <c r="G26" s="22" t="s">
        <v>95</v>
      </c>
      <c r="H26" s="62" t="s">
        <v>122</v>
      </c>
      <c r="I26" s="50"/>
      <c r="J26" s="59"/>
      <c r="K26" s="22">
        <v>1.5</v>
      </c>
    </row>
    <row r="28" spans="2:11">
      <c r="B28" s="15" t="s">
        <v>123</v>
      </c>
    </row>
    <row r="29" spans="2:11">
      <c r="B29" s="15" t="s">
        <v>124</v>
      </c>
    </row>
    <row r="30" spans="2:11">
      <c r="C30" s="14" t="s">
        <v>125</v>
      </c>
    </row>
    <row r="31" spans="2:11">
      <c r="D31" s="14" t="s">
        <v>126</v>
      </c>
    </row>
    <row r="32" spans="2:11">
      <c r="D32" s="14" t="s">
        <v>127</v>
      </c>
    </row>
    <row r="33" spans="2:7">
      <c r="C33" s="14" t="s">
        <v>128</v>
      </c>
    </row>
    <row r="34" spans="2:7">
      <c r="C34" s="24" t="s">
        <v>89</v>
      </c>
      <c r="D34" s="25" t="s">
        <v>129</v>
      </c>
      <c r="E34" s="57" t="s">
        <v>302</v>
      </c>
      <c r="F34" s="50"/>
      <c r="G34" s="50"/>
    </row>
    <row r="35" spans="2:7" ht="37.5" customHeight="1">
      <c r="C35" s="26">
        <v>1</v>
      </c>
      <c r="D35" s="27" t="s">
        <v>130</v>
      </c>
      <c r="E35" s="51" t="s">
        <v>306</v>
      </c>
      <c r="F35" s="50"/>
      <c r="G35" s="50"/>
    </row>
    <row r="36" spans="2:7">
      <c r="C36" s="26">
        <v>2</v>
      </c>
      <c r="D36" s="27" t="s">
        <v>131</v>
      </c>
      <c r="E36" s="51" t="s">
        <v>303</v>
      </c>
      <c r="F36" s="50"/>
      <c r="G36" s="50"/>
    </row>
    <row r="37" spans="2:7">
      <c r="C37" s="26">
        <v>3</v>
      </c>
      <c r="D37" s="27" t="s">
        <v>132</v>
      </c>
      <c r="E37" s="51" t="s">
        <v>304</v>
      </c>
      <c r="F37" s="50"/>
      <c r="G37" s="50"/>
    </row>
    <row r="38" spans="2:7">
      <c r="C38" s="26">
        <v>4</v>
      </c>
      <c r="D38" s="27" t="s">
        <v>133</v>
      </c>
      <c r="E38" s="51" t="s">
        <v>305</v>
      </c>
      <c r="F38" s="50"/>
      <c r="G38" s="50"/>
    </row>
    <row r="39" spans="2:7">
      <c r="C39" s="28" t="s">
        <v>333</v>
      </c>
    </row>
    <row r="40" spans="2:7">
      <c r="B40" s="15" t="s">
        <v>134</v>
      </c>
    </row>
    <row r="41" spans="2:7">
      <c r="C41" s="14" t="s">
        <v>135</v>
      </c>
    </row>
    <row r="43" spans="2:7">
      <c r="B43" s="15" t="s">
        <v>324</v>
      </c>
    </row>
    <row r="44" spans="2:7">
      <c r="B44" s="15" t="s">
        <v>136</v>
      </c>
    </row>
    <row r="45" spans="2:7">
      <c r="C45" s="14" t="s">
        <v>137</v>
      </c>
    </row>
    <row r="46" spans="2:7">
      <c r="C46" s="14" t="s">
        <v>138</v>
      </c>
    </row>
    <row r="47" spans="2:7">
      <c r="C47" s="29" t="s">
        <v>139</v>
      </c>
    </row>
    <row r="49" spans="2:5">
      <c r="B49" s="15" t="s">
        <v>140</v>
      </c>
    </row>
    <row r="50" spans="2:5">
      <c r="B50" s="15" t="s">
        <v>141</v>
      </c>
    </row>
    <row r="51" spans="2:5">
      <c r="C51" s="14" t="s">
        <v>142</v>
      </c>
    </row>
    <row r="52" spans="2:5">
      <c r="C52" s="29" t="s">
        <v>143</v>
      </c>
    </row>
    <row r="53" spans="2:5">
      <c r="B53" s="15" t="s">
        <v>144</v>
      </c>
    </row>
    <row r="54" spans="2:5">
      <c r="C54" s="14" t="s">
        <v>145</v>
      </c>
    </row>
    <row r="55" spans="2:5">
      <c r="C55" s="29" t="s">
        <v>146</v>
      </c>
    </row>
    <row r="57" spans="2:5">
      <c r="B57" s="15" t="s">
        <v>147</v>
      </c>
    </row>
    <row r="58" spans="2:5">
      <c r="B58" s="15" t="s">
        <v>148</v>
      </c>
    </row>
    <row r="59" spans="2:5">
      <c r="C59" s="14" t="s">
        <v>149</v>
      </c>
    </row>
    <row r="60" spans="2:5">
      <c r="B60" s="15" t="s">
        <v>150</v>
      </c>
    </row>
    <row r="61" spans="2:5">
      <c r="C61" s="14" t="s">
        <v>151</v>
      </c>
    </row>
    <row r="62" spans="2:5">
      <c r="C62" s="14" t="s">
        <v>152</v>
      </c>
    </row>
    <row r="63" spans="2:5">
      <c r="C63" s="24" t="s">
        <v>89</v>
      </c>
      <c r="D63" s="25" t="s">
        <v>153</v>
      </c>
      <c r="E63" s="25" t="s">
        <v>154</v>
      </c>
    </row>
    <row r="64" spans="2:5">
      <c r="C64" s="26">
        <v>1</v>
      </c>
      <c r="D64" s="26" t="s">
        <v>155</v>
      </c>
      <c r="E64" s="26">
        <v>1</v>
      </c>
    </row>
    <row r="65" spans="2:8">
      <c r="C65" s="26">
        <v>2</v>
      </c>
      <c r="D65" s="26" t="s">
        <v>156</v>
      </c>
      <c r="E65" s="26">
        <v>2</v>
      </c>
    </row>
    <row r="66" spans="2:8">
      <c r="C66" s="26">
        <v>3</v>
      </c>
      <c r="D66" s="26" t="s">
        <v>157</v>
      </c>
      <c r="E66" s="26">
        <v>3</v>
      </c>
    </row>
    <row r="67" spans="2:8">
      <c r="B67" s="15" t="s">
        <v>158</v>
      </c>
    </row>
    <row r="68" spans="2:8">
      <c r="C68" s="14" t="s">
        <v>159</v>
      </c>
    </row>
    <row r="69" spans="2:8">
      <c r="C69" s="14" t="s">
        <v>152</v>
      </c>
    </row>
    <row r="70" spans="2:8">
      <c r="C70" s="24" t="s">
        <v>89</v>
      </c>
      <c r="D70" s="25" t="s">
        <v>153</v>
      </c>
      <c r="E70" s="25" t="s">
        <v>154</v>
      </c>
    </row>
    <row r="71" spans="2:8">
      <c r="C71" s="26">
        <v>1</v>
      </c>
      <c r="D71" s="26" t="s">
        <v>155</v>
      </c>
      <c r="E71" s="26">
        <v>1</v>
      </c>
    </row>
    <row r="72" spans="2:8">
      <c r="C72" s="26">
        <v>2</v>
      </c>
      <c r="D72" s="26" t="s">
        <v>156</v>
      </c>
      <c r="E72" s="26">
        <v>2</v>
      </c>
    </row>
    <row r="73" spans="2:8">
      <c r="C73" s="26">
        <v>3</v>
      </c>
      <c r="D73" s="26" t="s">
        <v>157</v>
      </c>
      <c r="E73" s="26">
        <v>3</v>
      </c>
    </row>
    <row r="74" spans="2:8">
      <c r="C74" s="30"/>
      <c r="D74" s="30"/>
      <c r="E74" s="30"/>
    </row>
    <row r="75" spans="2:8">
      <c r="B75" s="15" t="s">
        <v>160</v>
      </c>
    </row>
    <row r="76" spans="2:8">
      <c r="C76" s="14" t="s">
        <v>161</v>
      </c>
    </row>
    <row r="77" spans="2:8">
      <c r="C77" s="14" t="s">
        <v>162</v>
      </c>
    </row>
    <row r="78" spans="2:8">
      <c r="C78" s="24" t="s">
        <v>89</v>
      </c>
      <c r="D78" s="25" t="s">
        <v>163</v>
      </c>
      <c r="E78" s="57" t="s">
        <v>164</v>
      </c>
      <c r="F78" s="58"/>
      <c r="G78" s="58"/>
      <c r="H78" s="58"/>
    </row>
    <row r="79" spans="2:8" ht="23.25" customHeight="1">
      <c r="C79" s="26">
        <v>1</v>
      </c>
      <c r="D79" s="27" t="s">
        <v>165</v>
      </c>
      <c r="E79" s="64" t="s">
        <v>166</v>
      </c>
      <c r="F79" s="59"/>
      <c r="G79" s="59"/>
      <c r="H79" s="59"/>
    </row>
    <row r="80" spans="2:8" ht="58.5" customHeight="1">
      <c r="C80" s="26">
        <v>2</v>
      </c>
      <c r="D80" s="27" t="s">
        <v>167</v>
      </c>
      <c r="E80" s="64" t="s">
        <v>168</v>
      </c>
      <c r="F80" s="59"/>
      <c r="G80" s="59"/>
      <c r="H80" s="59"/>
    </row>
    <row r="81" spans="2:8" ht="37.5" customHeight="1">
      <c r="C81" s="26">
        <v>3</v>
      </c>
      <c r="D81" s="27" t="s">
        <v>169</v>
      </c>
      <c r="E81" s="64" t="s">
        <v>170</v>
      </c>
      <c r="F81" s="59"/>
      <c r="G81" s="59"/>
      <c r="H81" s="59"/>
    </row>
    <row r="82" spans="2:8" ht="38.25" customHeight="1">
      <c r="C82" s="26">
        <v>4</v>
      </c>
      <c r="D82" s="27" t="s">
        <v>171</v>
      </c>
      <c r="E82" s="64" t="s">
        <v>172</v>
      </c>
      <c r="F82" s="59"/>
      <c r="G82" s="59"/>
      <c r="H82" s="59"/>
    </row>
    <row r="83" spans="2:8" ht="37.5" customHeight="1">
      <c r="C83" s="26">
        <v>5</v>
      </c>
      <c r="D83" s="27" t="s">
        <v>173</v>
      </c>
      <c r="E83" s="64" t="s">
        <v>174</v>
      </c>
      <c r="F83" s="59"/>
      <c r="G83" s="59"/>
      <c r="H83" s="59"/>
    </row>
    <row r="84" spans="2:8">
      <c r="C84" s="14" t="s">
        <v>175</v>
      </c>
    </row>
    <row r="86" spans="2:8">
      <c r="B86" s="15" t="s">
        <v>176</v>
      </c>
    </row>
    <row r="87" spans="2:8">
      <c r="B87" s="15"/>
      <c r="C87" s="14" t="s">
        <v>177</v>
      </c>
    </row>
    <row r="88" spans="2:8">
      <c r="B88" s="15" t="s">
        <v>178</v>
      </c>
    </row>
    <row r="89" spans="2:8">
      <c r="C89" s="14" t="s">
        <v>179</v>
      </c>
    </row>
    <row r="90" spans="2:8">
      <c r="C90" s="14" t="s">
        <v>180</v>
      </c>
    </row>
    <row r="91" spans="2:8">
      <c r="D91" s="14" t="s">
        <v>181</v>
      </c>
    </row>
    <row r="92" spans="2:8">
      <c r="D92" s="14" t="s">
        <v>182</v>
      </c>
    </row>
    <row r="93" spans="2:8">
      <c r="D93" s="14" t="s">
        <v>183</v>
      </c>
    </row>
    <row r="94" spans="2:8">
      <c r="B94" s="15" t="s">
        <v>184</v>
      </c>
    </row>
    <row r="95" spans="2:8">
      <c r="C95" s="14" t="s">
        <v>185</v>
      </c>
    </row>
    <row r="96" spans="2:8">
      <c r="C96" s="14" t="s">
        <v>186</v>
      </c>
    </row>
    <row r="97" spans="2:5">
      <c r="D97" s="14" t="s">
        <v>187</v>
      </c>
    </row>
    <row r="98" spans="2:5">
      <c r="B98" s="15" t="s">
        <v>188</v>
      </c>
    </row>
    <row r="99" spans="2:5">
      <c r="C99" s="14" t="s">
        <v>189</v>
      </c>
    </row>
    <row r="100" spans="2:5">
      <c r="C100" s="15" t="s">
        <v>190</v>
      </c>
    </row>
    <row r="101" spans="2:5">
      <c r="C101" s="14" t="s">
        <v>191</v>
      </c>
    </row>
    <row r="102" spans="2:5">
      <c r="C102" s="15" t="s">
        <v>192</v>
      </c>
    </row>
    <row r="103" spans="2:5">
      <c r="C103" s="14" t="s">
        <v>193</v>
      </c>
    </row>
    <row r="104" spans="2:5">
      <c r="C104" s="15" t="s">
        <v>194</v>
      </c>
    </row>
    <row r="105" spans="2:5">
      <c r="C105" s="14" t="s">
        <v>195</v>
      </c>
    </row>
    <row r="106" spans="2:5">
      <c r="C106" s="15" t="s">
        <v>196</v>
      </c>
    </row>
    <row r="107" spans="2:5">
      <c r="C107" s="14" t="s">
        <v>197</v>
      </c>
    </row>
    <row r="109" spans="2:5">
      <c r="B109" s="14" t="s">
        <v>198</v>
      </c>
    </row>
    <row r="111" spans="2:5">
      <c r="E111" s="19"/>
    </row>
    <row r="112" spans="2:5">
      <c r="E112" s="19"/>
    </row>
    <row r="113" spans="5:5">
      <c r="E113" s="19"/>
    </row>
    <row r="114" spans="5:5">
      <c r="E114" s="19"/>
    </row>
    <row r="115" spans="5:5">
      <c r="E115" s="19"/>
    </row>
    <row r="116" spans="5:5">
      <c r="E116" s="19"/>
    </row>
  </sheetData>
  <mergeCells count="34">
    <mergeCell ref="E82:H82"/>
    <mergeCell ref="E83:H83"/>
    <mergeCell ref="E26:F26"/>
    <mergeCell ref="H26:J26"/>
    <mergeCell ref="E78:H78"/>
    <mergeCell ref="E79:H79"/>
    <mergeCell ref="E80:H80"/>
    <mergeCell ref="E81:H81"/>
    <mergeCell ref="E34:G34"/>
    <mergeCell ref="E35:G35"/>
    <mergeCell ref="E36:G36"/>
    <mergeCell ref="E37:G37"/>
    <mergeCell ref="E38:G38"/>
    <mergeCell ref="D23:D25"/>
    <mergeCell ref="E23:F23"/>
    <mergeCell ref="H23:J23"/>
    <mergeCell ref="E24:F24"/>
    <mergeCell ref="H24:J24"/>
    <mergeCell ref="E25:F25"/>
    <mergeCell ref="H25:J25"/>
    <mergeCell ref="E20:F20"/>
    <mergeCell ref="H20:J20"/>
    <mergeCell ref="D21:D22"/>
    <mergeCell ref="E21:F21"/>
    <mergeCell ref="H21:J21"/>
    <mergeCell ref="E22:F22"/>
    <mergeCell ref="H22:J22"/>
    <mergeCell ref="D17:F17"/>
    <mergeCell ref="H17:J17"/>
    <mergeCell ref="D18:D19"/>
    <mergeCell ref="E18:F18"/>
    <mergeCell ref="H18:J18"/>
    <mergeCell ref="E19:F19"/>
    <mergeCell ref="H19:J19"/>
  </mergeCells>
  <phoneticPr fontId="2"/>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22"/>
  <sheetViews>
    <sheetView showGridLines="0" zoomScaleNormal="100" workbookViewId="0">
      <selection activeCell="C3" sqref="C3"/>
    </sheetView>
  </sheetViews>
  <sheetFormatPr defaultRowHeight="18.75"/>
  <cols>
    <col min="1" max="2" width="3.5" style="14" customWidth="1"/>
    <col min="3" max="3" width="50.625" style="14" customWidth="1"/>
    <col min="4" max="16384" width="9" style="14"/>
  </cols>
  <sheetData>
    <row r="2" spans="2:3" ht="19.5" thickBot="1">
      <c r="B2" s="1" t="s">
        <v>0</v>
      </c>
      <c r="C2" s="4"/>
    </row>
    <row r="3" spans="2:3" ht="19.5" thickBot="1">
      <c r="C3" s="8"/>
    </row>
    <row r="5" spans="2:3" ht="19.5" thickBot="1">
      <c r="B5" s="1" t="s">
        <v>1</v>
      </c>
      <c r="C5" s="5"/>
    </row>
    <row r="6" spans="2:3" ht="19.5" thickBot="1">
      <c r="C6" s="13"/>
    </row>
    <row r="10" spans="2:3" ht="19.5" thickBot="1">
      <c r="B10" s="1" t="s">
        <v>2</v>
      </c>
      <c r="C10" s="5"/>
    </row>
    <row r="11" spans="2:3" ht="78" customHeight="1" thickBot="1">
      <c r="C11" s="2" t="str">
        <f ca="1">IF(IFERROR(VLOOKUP(C3,INDIRECT("licenses!B:F"),5,0),"")&lt;&gt;"",VLOOKUP(C3,INDIRECT("licenses!B:F"),5,0),IF(IFERROR(VLOOKUP(C3,INDIRECT("licenses!C:F"),4,0),"")&lt;&gt;"",VLOOKUP(C3,INDIRECT("licenses!C:F"),4,0),""))</f>
        <v/>
      </c>
    </row>
    <row r="12" spans="2:3">
      <c r="C12" s="3" t="str">
        <f ca="1">IF(OR(IFERROR(VLOOKUP(C3,INDIRECT("licenses!B:D"),3,0),0)&lt;&gt;0,IFERROR(VLOOKUP(C3,INDIRECT("licenses!C:D"),2,0),0)&lt;&gt;0),"",IF(setting!D3&lt;&gt;"",setting!D3,""))</f>
        <v/>
      </c>
    </row>
    <row r="13" spans="2:3">
      <c r="C13" s="3"/>
    </row>
    <row r="14" spans="2:3">
      <c r="B14" s="1" t="s">
        <v>3</v>
      </c>
      <c r="C14" s="3"/>
    </row>
    <row r="15" spans="2:3">
      <c r="B15" s="11"/>
      <c r="C15" s="4" t="str">
        <f>"：" &amp; setting!D4</f>
        <v>：</v>
      </c>
    </row>
    <row r="16" spans="2:3">
      <c r="B16" s="10"/>
      <c r="C16" s="4" t="str">
        <f>"：" &amp; setting!D5</f>
        <v>：</v>
      </c>
    </row>
    <row r="17" spans="2:3">
      <c r="B17" s="12"/>
      <c r="C17" s="4" t="str">
        <f>"：" &amp; setting!D6</f>
        <v>：</v>
      </c>
    </row>
    <row r="19" spans="2:3">
      <c r="B19" s="1" t="s">
        <v>4</v>
      </c>
      <c r="C19" s="5"/>
    </row>
    <row r="22" spans="2:3">
      <c r="B22" s="15" t="s">
        <v>42</v>
      </c>
    </row>
  </sheetData>
  <sheetProtection sheet="1" objects="1" scenarios="1"/>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SelectLicenseJP">
                <anchor moveWithCells="1">
                  <from>
                    <xdr:col>3</xdr:col>
                    <xdr:colOff>85725</xdr:colOff>
                    <xdr:row>2</xdr:row>
                    <xdr:rowOff>9525</xdr:rowOff>
                  </from>
                  <to>
                    <xdr:col>3</xdr:col>
                    <xdr:colOff>638175</xdr:colOff>
                    <xdr:row>2</xdr:row>
                    <xdr:rowOff>219075</xdr:rowOff>
                  </to>
                </anchor>
              </controlPr>
            </control>
          </mc:Choice>
        </mc:AlternateContent>
        <mc:AlternateContent xmlns:mc="http://schemas.openxmlformats.org/markup-compatibility/2006">
          <mc:Choice Requires="x14">
            <control shapeId="2053" r:id="rId5" name="Button 5">
              <controlPr defaultSize="0" print="0" autoFill="0" autoPict="0" macro="[0]!ShowPermissionsJP">
                <anchor moveWithCells="1">
                  <from>
                    <xdr:col>1</xdr:col>
                    <xdr:colOff>247650</xdr:colOff>
                    <xdr:row>7</xdr:row>
                    <xdr:rowOff>9525</xdr:rowOff>
                  </from>
                  <to>
                    <xdr:col>2</xdr:col>
                    <xdr:colOff>504825</xdr:colOff>
                    <xdr:row>7</xdr:row>
                    <xdr:rowOff>219075</xdr:rowOff>
                  </to>
                </anchor>
              </controlPr>
            </control>
          </mc:Choice>
        </mc:AlternateContent>
        <mc:AlternateContent xmlns:mc="http://schemas.openxmlformats.org/markup-compatibility/2006">
          <mc:Choice Requires="x14">
            <control shapeId="2054" r:id="rId6" name="Button 6">
              <controlPr defaultSize="0" print="0" autoFill="0" autoPict="0" macro="[0]!SelectUseCaseJP">
                <anchor moveWithCells="1">
                  <from>
                    <xdr:col>3</xdr:col>
                    <xdr:colOff>85725</xdr:colOff>
                    <xdr:row>5</xdr:row>
                    <xdr:rowOff>9525</xdr:rowOff>
                  </from>
                  <to>
                    <xdr:col>3</xdr:col>
                    <xdr:colOff>638175</xdr:colOff>
                    <xdr:row>5</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C7D08-02E6-4D58-A192-DAA6159E27C0}">
  <sheetPr codeName="Sheet7"/>
  <dimension ref="A1:C21"/>
  <sheetViews>
    <sheetView workbookViewId="0"/>
  </sheetViews>
  <sheetFormatPr defaultRowHeight="18.75"/>
  <cols>
    <col min="1" max="1" width="15.875" style="14" customWidth="1"/>
    <col min="2" max="2" width="43" style="14" customWidth="1"/>
    <col min="3" max="3" width="45.25" style="14" customWidth="1"/>
    <col min="4" max="16384" width="9" style="14"/>
  </cols>
  <sheetData>
    <row r="1" spans="1:3">
      <c r="A1" s="16" t="s">
        <v>5</v>
      </c>
      <c r="B1" s="16" t="s">
        <v>6</v>
      </c>
      <c r="C1" s="16" t="s">
        <v>7</v>
      </c>
    </row>
    <row r="2" spans="1:3">
      <c r="A2" s="14" t="s">
        <v>26</v>
      </c>
      <c r="B2" s="14" t="s">
        <v>8</v>
      </c>
      <c r="C2" s="14" t="s">
        <v>9</v>
      </c>
    </row>
    <row r="3" spans="1:3">
      <c r="A3" s="14" t="s">
        <v>27</v>
      </c>
      <c r="B3" s="14" t="s">
        <v>10</v>
      </c>
      <c r="C3" s="14" t="s">
        <v>11</v>
      </c>
    </row>
    <row r="4" spans="1:3">
      <c r="A4" s="14" t="s">
        <v>28</v>
      </c>
      <c r="B4" s="14" t="s">
        <v>12</v>
      </c>
      <c r="C4" s="14" t="s">
        <v>13</v>
      </c>
    </row>
    <row r="5" spans="1:3">
      <c r="A5" s="14" t="s">
        <v>41</v>
      </c>
      <c r="B5" s="14" t="s">
        <v>44</v>
      </c>
      <c r="C5" s="14" t="s">
        <v>43</v>
      </c>
    </row>
    <row r="6" spans="1:3">
      <c r="A6" s="14" t="s">
        <v>50</v>
      </c>
      <c r="B6" s="14" t="s">
        <v>48</v>
      </c>
      <c r="C6" s="14" t="s">
        <v>46</v>
      </c>
    </row>
    <row r="7" spans="1:3">
      <c r="A7" s="14" t="s">
        <v>51</v>
      </c>
      <c r="B7" s="14" t="s">
        <v>49</v>
      </c>
      <c r="C7" s="14" t="s">
        <v>47</v>
      </c>
    </row>
    <row r="8" spans="1:3">
      <c r="A8" s="14" t="s">
        <v>29</v>
      </c>
      <c r="B8" s="14" t="s">
        <v>64</v>
      </c>
      <c r="C8" s="14" t="s">
        <v>63</v>
      </c>
    </row>
    <row r="9" spans="1:3">
      <c r="A9" s="14" t="s">
        <v>30</v>
      </c>
      <c r="B9" s="14" t="s">
        <v>66</v>
      </c>
      <c r="C9" s="14" t="s">
        <v>67</v>
      </c>
    </row>
    <row r="10" spans="1:3">
      <c r="A10" s="14" t="s">
        <v>31</v>
      </c>
      <c r="B10" s="14" t="s">
        <v>83</v>
      </c>
      <c r="C10" s="14" t="s">
        <v>65</v>
      </c>
    </row>
    <row r="11" spans="1:3">
      <c r="A11" s="14" t="s">
        <v>32</v>
      </c>
      <c r="B11" s="14" t="s">
        <v>14</v>
      </c>
      <c r="C11" s="14" t="s">
        <v>15</v>
      </c>
    </row>
    <row r="12" spans="1:3">
      <c r="A12" s="17" t="s">
        <v>35</v>
      </c>
      <c r="B12" s="17" t="s">
        <v>37</v>
      </c>
      <c r="C12" s="17" t="s">
        <v>36</v>
      </c>
    </row>
    <row r="13" spans="1:3">
      <c r="A13" s="17" t="s">
        <v>38</v>
      </c>
      <c r="B13" s="17" t="s">
        <v>40</v>
      </c>
      <c r="C13" s="17" t="s">
        <v>39</v>
      </c>
    </row>
    <row r="14" spans="1:3">
      <c r="A14" s="14" t="s">
        <v>52</v>
      </c>
      <c r="B14" s="14" t="s">
        <v>72</v>
      </c>
      <c r="C14" s="14" t="s">
        <v>73</v>
      </c>
    </row>
    <row r="15" spans="1:3">
      <c r="A15" s="14" t="s">
        <v>58</v>
      </c>
      <c r="B15" s="14" t="s">
        <v>74</v>
      </c>
      <c r="C15" s="14" t="s">
        <v>75</v>
      </c>
    </row>
    <row r="16" spans="1:3">
      <c r="A16" s="14" t="s">
        <v>59</v>
      </c>
      <c r="B16" s="14" t="s">
        <v>76</v>
      </c>
      <c r="C16" s="14" t="s">
        <v>60</v>
      </c>
    </row>
    <row r="17" spans="1:3">
      <c r="A17" s="14" t="s">
        <v>62</v>
      </c>
      <c r="B17" s="14" t="s">
        <v>77</v>
      </c>
      <c r="C17" s="14" t="s">
        <v>61</v>
      </c>
    </row>
    <row r="18" spans="1:3">
      <c r="A18" s="14" t="s">
        <v>68</v>
      </c>
      <c r="B18" s="14" t="s">
        <v>78</v>
      </c>
      <c r="C18" s="14" t="s">
        <v>79</v>
      </c>
    </row>
    <row r="19" spans="1:3">
      <c r="A19" s="14" t="s">
        <v>69</v>
      </c>
      <c r="B19" s="14" t="s">
        <v>80</v>
      </c>
      <c r="C19" s="14" t="s">
        <v>70</v>
      </c>
    </row>
    <row r="20" spans="1:3">
      <c r="A20" s="14" t="s">
        <v>33</v>
      </c>
      <c r="B20" s="14" t="s">
        <v>16</v>
      </c>
      <c r="C20" s="14" t="s">
        <v>17</v>
      </c>
    </row>
    <row r="21" spans="1:3">
      <c r="A21" s="14" t="s">
        <v>34</v>
      </c>
      <c r="B21" s="14" t="s">
        <v>81</v>
      </c>
      <c r="C21" s="14" t="s">
        <v>82</v>
      </c>
    </row>
  </sheetData>
  <phoneticPr fontId="2"/>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63EB9-03EC-4D4C-BBCA-CBB65BB90843}">
  <sheetPr codeName="Sheet11"/>
  <dimension ref="A1:D6"/>
  <sheetViews>
    <sheetView showGridLines="0" zoomScaleNormal="100" workbookViewId="0"/>
  </sheetViews>
  <sheetFormatPr defaultRowHeight="18.75"/>
  <cols>
    <col min="1" max="1" width="26.875" style="4" customWidth="1"/>
    <col min="2" max="2" width="45.75" style="4" customWidth="1"/>
    <col min="3" max="4" width="35.125" style="4" customWidth="1"/>
    <col min="5" max="16384" width="9" style="4"/>
  </cols>
  <sheetData>
    <row r="1" spans="1:4">
      <c r="A1" s="6" t="s">
        <v>18</v>
      </c>
      <c r="B1" s="6" t="s">
        <v>19</v>
      </c>
      <c r="C1" s="6" t="s">
        <v>20</v>
      </c>
      <c r="D1" s="6" t="s">
        <v>21</v>
      </c>
    </row>
    <row r="2" spans="1:4" ht="93.75">
      <c r="A2" s="7" t="s">
        <v>45</v>
      </c>
      <c r="B2" s="7" t="s">
        <v>321</v>
      </c>
      <c r="C2" s="7"/>
      <c r="D2" s="7"/>
    </row>
    <row r="3" spans="1:4" ht="168.75">
      <c r="A3" s="7" t="s">
        <v>22</v>
      </c>
      <c r="B3" s="7" t="s">
        <v>317</v>
      </c>
      <c r="C3" s="7"/>
      <c r="D3" s="7"/>
    </row>
    <row r="4" spans="1:4" ht="112.5">
      <c r="A4" s="7" t="s">
        <v>23</v>
      </c>
      <c r="B4" s="7" t="s">
        <v>318</v>
      </c>
      <c r="C4" s="7"/>
      <c r="D4" s="7"/>
    </row>
    <row r="5" spans="1:4" ht="112.5">
      <c r="A5" s="7" t="s">
        <v>24</v>
      </c>
      <c r="B5" s="7" t="s">
        <v>319</v>
      </c>
      <c r="C5" s="7"/>
      <c r="D5" s="7"/>
    </row>
    <row r="6" spans="1:4" ht="112.5">
      <c r="A6" s="7" t="s">
        <v>25</v>
      </c>
      <c r="B6" s="7" t="s">
        <v>320</v>
      </c>
      <c r="C6" s="7"/>
      <c r="D6" s="7"/>
    </row>
  </sheetData>
  <phoneticPr fontId="2"/>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LoadOpenLicenseEN">
                <anchor moveWithCells="1">
                  <from>
                    <xdr:col>2</xdr:col>
                    <xdr:colOff>590550</xdr:colOff>
                    <xdr:row>1</xdr:row>
                    <xdr:rowOff>152400</xdr:rowOff>
                  </from>
                  <to>
                    <xdr:col>2</xdr:col>
                    <xdr:colOff>2028825</xdr:colOff>
                    <xdr:row>1</xdr:row>
                    <xdr:rowOff>800100</xdr:rowOff>
                  </to>
                </anchor>
              </controlPr>
            </control>
          </mc:Choice>
        </mc:AlternateContent>
        <mc:AlternateContent xmlns:mc="http://schemas.openxmlformats.org/markup-compatibility/2006">
          <mc:Choice Requires="x14">
            <control shapeId="4098" r:id="rId5" name="Button 2">
              <controlPr defaultSize="0" print="0" autoFill="0" autoPict="0" macro="[0]!LoadOpenLicenseJP">
                <anchor moveWithCells="1">
                  <from>
                    <xdr:col>3</xdr:col>
                    <xdr:colOff>638175</xdr:colOff>
                    <xdr:row>1</xdr:row>
                    <xdr:rowOff>152400</xdr:rowOff>
                  </from>
                  <to>
                    <xdr:col>3</xdr:col>
                    <xdr:colOff>2076450</xdr:colOff>
                    <xdr:row>1</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F48B6-75F1-4693-B023-1A5C4BD7859D}">
  <sheetPr codeName="Sheet5"/>
  <dimension ref="B1:B2"/>
  <sheetViews>
    <sheetView showGridLines="0" tabSelected="1" zoomScaleNormal="100" workbookViewId="0">
      <selection activeCell="B2" sqref="B2"/>
    </sheetView>
  </sheetViews>
  <sheetFormatPr defaultRowHeight="18.75"/>
  <cols>
    <col min="1" max="1" width="2.625" style="14" customWidth="1"/>
    <col min="2" max="2" width="85.125" style="14" customWidth="1"/>
    <col min="3" max="16384" width="9" style="14"/>
  </cols>
  <sheetData>
    <row r="1" spans="2:2" ht="12" customHeight="1" thickBot="1"/>
    <row r="2" spans="2:2" ht="402" customHeight="1" thickBot="1">
      <c r="B2" s="46" t="s">
        <v>334</v>
      </c>
    </row>
  </sheetData>
  <phoneticPr fontId="2"/>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541583C63C9F8F47B864AD9CFDE63D98" ma:contentTypeVersion="11" ma:contentTypeDescription="新しいドキュメントを作成します。" ma:contentTypeScope="" ma:versionID="72b0f14ca4790bf246ef4ab9c954fe2a">
  <xsd:schema xmlns:xsd="http://www.w3.org/2001/XMLSchema" xmlns:xs="http://www.w3.org/2001/XMLSchema" xmlns:p="http://schemas.microsoft.com/office/2006/metadata/properties" xmlns:ns3="5561787d-b1ec-4041-9af9-f3fd8666321f" xmlns:ns4="80bbd924-e74f-4b13-813b-3bc3fd552ee6" targetNamespace="http://schemas.microsoft.com/office/2006/metadata/properties" ma:root="true" ma:fieldsID="e603ba8dec9f0b4f9f34645e75523777" ns3:_="" ns4:_="">
    <xsd:import namespace="5561787d-b1ec-4041-9af9-f3fd8666321f"/>
    <xsd:import namespace="80bbd924-e74f-4b13-813b-3bc3fd552ee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61787d-b1ec-4041-9af9-f3fd8666321f"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element name="SharingHintHash" ma:index="10" nillable="true" ma:displayName="共有のヒントのハッシュ"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0bbd924-e74f-4b13-813b-3bc3fd552ee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4DA92D-F187-46D8-926A-33100B7737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561787d-b1ec-4041-9af9-f3fd8666321f"/>
    <ds:schemaRef ds:uri="80bbd924-e74f-4b13-813b-3bc3fd552ee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21F6F28-2EA2-4F66-9243-62553EB199CC}">
  <ds:schemaRef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terms/"/>
    <ds:schemaRef ds:uri="http://purl.org/dc/dcmitype/"/>
    <ds:schemaRef ds:uri="5561787d-b1ec-4041-9af9-f3fd8666321f"/>
    <ds:schemaRef ds:uri="http://schemas.microsoft.com/office/infopath/2007/PartnerControls"/>
    <ds:schemaRef ds:uri="80bbd924-e74f-4b13-813b-3bc3fd552ee6"/>
    <ds:schemaRef ds:uri="http://www.w3.org/XML/1998/namespace"/>
  </ds:schemaRefs>
</ds:datastoreItem>
</file>

<file path=customXml/itemProps3.xml><?xml version="1.0" encoding="utf-8"?>
<ds:datastoreItem xmlns:ds="http://schemas.openxmlformats.org/officeDocument/2006/customXml" ds:itemID="{845DF3A2-7C5D-49EF-8E91-274875C039E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manual(EN)</vt:lpstr>
      <vt:lpstr>viewer(EN)</vt:lpstr>
      <vt:lpstr>manual(JP)</vt:lpstr>
      <vt:lpstr>viewer(JP)</vt:lpstr>
      <vt:lpstr>messages</vt:lpstr>
      <vt:lpstr>setting</vt:lpstr>
      <vt:lpstr>LICENSE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21680101</dc:creator>
  <cp:lastModifiedBy>10381481</cp:lastModifiedBy>
  <dcterms:created xsi:type="dcterms:W3CDTF">2020-03-04T10:20:43Z</dcterms:created>
  <dcterms:modified xsi:type="dcterms:W3CDTF">2020-07-07T08:07:32Z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0x010100541583C63C9F8F47B864AD9CFDE63D98</vt:lpwstr>
  </property>
</Properties>
</file>